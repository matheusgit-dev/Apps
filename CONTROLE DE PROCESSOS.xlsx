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vfpar.sharepoint.com/sites/Arquivos/Documentos Compartilhados/Jurídico/PROCESSOS/01 - VF GOMES CONSTRUTORA/"/>
    </mc:Choice>
  </mc:AlternateContent>
  <xr:revisionPtr revIDLastSave="12" documentId="8_{05807791-05C3-43C5-ABBD-57572483D769}" xr6:coauthVersionLast="47" xr6:coauthVersionMax="47" xr10:uidLastSave="{977D9CA4-4451-4EAC-B803-F9AE279F3687}"/>
  <bookViews>
    <workbookView xWindow="-120" yWindow="-120" windowWidth="29040" windowHeight="15720" activeTab="1" xr2:uid="{240131E3-B9B3-4364-9436-BE67D349B33A}"/>
  </bookViews>
  <sheets>
    <sheet name="PROCESSOS" sheetId="1" r:id="rId1"/>
    <sheet name="DASHBOARD" sheetId="2" r:id="rId2"/>
  </sheets>
  <definedNames>
    <definedName name="_xlnm._FilterDatabase" localSheetId="0" hidden="1">PROCESSOS!$A$2:$U$2</definedName>
  </definedName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3" i="2" l="1"/>
  <c r="C42" i="2"/>
  <c r="C38" i="2"/>
  <c r="C37" i="2"/>
  <c r="C50" i="2"/>
  <c r="O34" i="2"/>
  <c r="O43" i="2"/>
  <c r="O42" i="2"/>
  <c r="O41" i="2"/>
  <c r="O40" i="2"/>
  <c r="O39" i="2"/>
  <c r="O38" i="2"/>
  <c r="O37" i="2"/>
  <c r="O36" i="2"/>
  <c r="O35" i="2"/>
  <c r="O33" i="2"/>
  <c r="O32" i="2"/>
  <c r="O31" i="2"/>
  <c r="O30" i="2"/>
  <c r="O29" i="2"/>
  <c r="O28" i="2"/>
  <c r="O27" i="2"/>
  <c r="O26" i="2"/>
  <c r="O25" i="2"/>
  <c r="C51" i="2"/>
  <c r="C49" i="2"/>
  <c r="C48" i="2"/>
  <c r="C47" i="2"/>
  <c r="C46" i="2"/>
  <c r="C41" i="2"/>
  <c r="C40" i="2"/>
  <c r="C39" i="2"/>
  <c r="C36" i="2"/>
  <c r="C35" i="2"/>
  <c r="C31" i="2"/>
  <c r="C30" i="2"/>
  <c r="C29" i="2"/>
  <c r="C28" i="2"/>
  <c r="C27" i="2"/>
  <c r="C26" i="2"/>
  <c r="C25" i="2"/>
  <c r="F4" i="2"/>
  <c r="K11" i="2"/>
  <c r="K10" i="2"/>
  <c r="K9" i="2"/>
  <c r="K8" i="2"/>
  <c r="K7" i="2"/>
  <c r="S6" i="2"/>
  <c r="S7" i="2"/>
  <c r="S8" i="2"/>
  <c r="S10" i="2"/>
  <c r="S9" i="2"/>
  <c r="J4" i="2"/>
  <c r="E4" i="2"/>
  <c r="D4" i="2"/>
  <c r="C4" i="2"/>
  <c r="B4" i="2"/>
  <c r="T3" i="1"/>
  <c r="T6" i="1"/>
  <c r="T7" i="1"/>
  <c r="T8" i="1"/>
  <c r="T10" i="1"/>
  <c r="T13" i="1"/>
  <c r="T31" i="1"/>
  <c r="H4" i="2" l="1"/>
</calcChain>
</file>

<file path=xl/sharedStrings.xml><?xml version="1.0" encoding="utf-8"?>
<sst xmlns="http://schemas.openxmlformats.org/spreadsheetml/2006/main" count="673" uniqueCount="229">
  <si>
    <t>-</t>
  </si>
  <si>
    <t>EM ANDAMENTO</t>
  </si>
  <si>
    <t>18/08/2026, ÀS 08:50.</t>
  </si>
  <si>
    <t>AGUARDANDO AUDIÊNCIA</t>
  </si>
  <si>
    <t>INICIAL</t>
  </si>
  <si>
    <t>HORAS EXTRAS, ADICIONAL NOTURNO, ADICIONAL DE HORAS EXTRAS, DEDUÇÃO/ABATIMENTO DE HORAS EXTRAS, DÉCIMO TERCEIRO SALÁRIO, DÉCIMO TERCEIRO SALÁRIO PROPORCIONAL, FGTS, FGTS, FGTS, HONORÁRIOS ADVOCATÍCIOS, HONORÁRIOS NA JUSTIÇA DO TRABALHO, HORAS EXTRAS, INDENIZAÇÃO/DOBRA/TERÇO CONSTITUCIONAL, INTERVALO INTRAJORNADA, LEVANTAMENTO DO FGTS, MULTA DE 40% DO FGTS, REFLEXOS, REPOUSO SEMANAL REMUNERADO E FERIADO, SUPRESSÃO/REDUÇÃO DE HORAS EXTRAS/INDENIZAÇÃO, TRABALHO AOS DOMINGOS</t>
  </si>
  <si>
    <t xml:space="preserve">CRISDAINE MICAELI SILVA FAVALESSA SOUZA </t>
  </si>
  <si>
    <t>VF GOMES CONSTRUTORA</t>
  </si>
  <si>
    <t>RYAN HENRIQUE SILVA SALOME</t>
  </si>
  <si>
    <t>CAMPO NOVO DO PARECIS</t>
  </si>
  <si>
    <t>TRT 23ª</t>
  </si>
  <si>
    <t>0000601-89.2026.5.23.0111</t>
  </si>
  <si>
    <t>SIM</t>
  </si>
  <si>
    <t>ENCERRADO</t>
  </si>
  <si>
    <t>INSTRUÇÃO</t>
  </si>
  <si>
    <t>RESCISÃO INDIRETA, ADICIONAL DE INSALUBRIDADE, ADICIONAL DE PERICULOSIDADE, AVISO PRÉVIO, DÉCIMO TERCEIRO SALÁRIO PROPORCIONAL, FGTS, FÉRIAS PROPORCIONAIS, HONORÁRIOS ADVOCATÍCIOS, INDENIZAÇÃO POR DANO MORAL, LEVANTAMENTO DO FGTS, MULTA DE 40% DO FGTS, MULTA DO ARTIGO 477 DA CLT, MULTA DO ARTIGO 467 DA CLT, SEGURO DESEMPREGO, SUSPENSÃO DA COBRANÇA - DEVEDOR BENEFICIÁRIO DE ASSISTÊNCIA JUDICIÁRIA GRATUITA</t>
  </si>
  <si>
    <t>ANA KAROLINE DA SILVA</t>
  </si>
  <si>
    <t>JOAO PEDRO BORGES LOPES / GUSTAVO VIEIRA DO NASCIMENTO DE LIMA</t>
  </si>
  <si>
    <t>GLEISON PANSERA BALDIN</t>
  </si>
  <si>
    <t>PONTES E LACERDA</t>
  </si>
  <si>
    <t>0000175-25.2026.5.23.0096</t>
  </si>
  <si>
    <t>AGUARDANDO PERICIA</t>
  </si>
  <si>
    <t>TERMO DE RESCISÃO CONTRATUAL</t>
  </si>
  <si>
    <t>SABRINA PAULA MARQUES FERRARINI</t>
  </si>
  <si>
    <t>VF GOMES PARTICIPAÇÕES</t>
  </si>
  <si>
    <t>KATHIERE CANEDO GOMES</t>
  </si>
  <si>
    <t>3ª VARA / SINOP</t>
  </si>
  <si>
    <t>0000543-14.2026.5.23.0038</t>
  </si>
  <si>
    <t>03/07/2026, ÀS 07:30.</t>
  </si>
  <si>
    <t>VERBAS RESCISÓRIAS, DESCONFIGURAÇÃO DE JUSTA CAUSA, FGTS, JUSTA CAUSA/FALTA GRAVE, MULTA DE 40% DO FGTS, MULTA DO ARTIGO 477 DA CLT, MULTA DO ARTIGO 467 DA CLT</t>
  </si>
  <si>
    <t>PAULA FERREIRA AQUINO</t>
  </si>
  <si>
    <t>ERICK MATHEUS RAMOS FEITOZA</t>
  </si>
  <si>
    <t>CONFRESA</t>
  </si>
  <si>
    <t>0000399-67.2026.5.23.0126</t>
  </si>
  <si>
    <t>25/06/2026, ÀS 09:30.</t>
  </si>
  <si>
    <t>HONORÁRIOS ADVOCATÍCIOS, HORAS EXTRAS, INDENIZAÇÃO POR DANO MORAL, INTERVALO INTERJORNADAS, INTERVALO INTRAJORNADA, PRESCRIÇÃO E DECADÊNCIA NO DIREITO DO TRABALHO</t>
  </si>
  <si>
    <t>MIRELLE LETICIA GOULART DA SILVA</t>
  </si>
  <si>
    <t>ANTONIO EDERLEI OLIVEIRA DE MENEZES</t>
  </si>
  <si>
    <t>0000380-09.2026.5.23.0111</t>
  </si>
  <si>
    <t>02/09/2026, ÀS 10:00.</t>
  </si>
  <si>
    <t>HORAS EXTRAS, ACÚMULO DE FUNÇÃO, ADICIONAL DE HORA EXTRA, ADICIONAL DE HORAS EXTRAS, ANOTAÇÃO/BAIXA/RETIFICAÇÃO, ASSÉDIO MORAL, CTPS, CARTÃO DE PONTO, CONTROLE DE JORNADA, DANO MORAL / MATERIAL, DESPEDIDA/DISPENSA IMOTIVADA, DESVIO DE FUNÇÃO, DIFERENÇAS POR DESVIO DE FUNÇÃO, DISPENSA / RESCISÃO DO CONTRATO DE TRABALHO, DISPENSA DISCRIMINATÓRIA, DÉCIMO TERCEIRO SALÁRIO, DÉCIMO TERCEIRO SALÁRIO PROPORCIONAL, FGTS, FGTS, FGTS, FERIADO EM DOBRO, FUNÇÃO DE CONFIANÇA - INCORPORAÇÃO, FÉRIAS, FÉRIAS / GOZO / FRUIÇÃO, FÉRIAS PROPORCIONAIS, GRATIFICAÇÃO DE FUNÇÃO, GRATIFICAÇÃO DE FÉRIAS, HONORÁRIOS ADVOCATÍCIOS, HONORÁRIOS PERICIAIS, HONORÁRIOS NA JUSTIÇA DO TRABALHO, HORA EXTRA/INTERVALO, HORAS EXTRAS, INDENIZAÇÃO POR DANO MORAL, INDENIZAÇÃO POR DANO MORAL, LEVANTAMENTO DO FGTS, MULTA DE 40% DO FGTS, REFLEXOS, SALÁRIO POR ACÚMULO DE CARGO/FUNÇÃO</t>
  </si>
  <si>
    <t>DEMETRIO BAGNO FERREIRA / ROBERTO CARLOS MELGAREJO DE VARGAS</t>
  </si>
  <si>
    <t>ARIELA RANGEL SARDI PELIZARIO</t>
  </si>
  <si>
    <t>0001185-21.2025.5.23.0038</t>
  </si>
  <si>
    <t>HORAS EXTRAS, ADICIONAL DE INSALUBRIDADE, AVISO PRÉVIO, CONDIÇÕES DEGRADANTES, INTERVALO INTRAJORNADA, REFLEXOS</t>
  </si>
  <si>
    <t>RANDERSON CARLOS FERREIRA DE MORAES / MILENE DA SILVA LIMA SANTOS / DEBORAH COELHO BARBOSA</t>
  </si>
  <si>
    <t>FERNANDO MONTEIRO OLIVEIRA</t>
  </si>
  <si>
    <t>0000174-47.2026.5.23.0126</t>
  </si>
  <si>
    <t>20/08/2026, ÀS 10:30.</t>
  </si>
  <si>
    <t>HORAS EXTRAS, ADICIONAL DE INSALUBRIDADE, MULTA DO ARTIGO 477 DA CLT, MULTA DO ARTIGO 467 DA CLT</t>
  </si>
  <si>
    <t>ANDRE RICARDO FERREIRA DE OLIVEIRA</t>
  </si>
  <si>
    <t>CLEITON DA SILVA ISABEL / ANA KAROLINE DA SILVA</t>
  </si>
  <si>
    <t>JOSE ALISSON VIEIRA DA SILVA</t>
  </si>
  <si>
    <t>2ª VARA DO TRABALHO DE SÃO MIGUEL DOS CAMPOS</t>
  </si>
  <si>
    <t>TRT 19ª</t>
  </si>
  <si>
    <t>0000538-44.2025.5.19.0262</t>
  </si>
  <si>
    <t>27/07/2026, ÀS 11:45.</t>
  </si>
  <si>
    <t>ADICIONAL DE INSALUBRIDADE, ADICIONAL DE PERICULOSIDADE, HORAS EXTRAS, INDENIZAÇÃO POR DANO MORAL, MULTA CONVENCIONAL, REFLEXOS, RESPONSABILIDADE SOLIDÁRIA/SUBSIDIÁRIA, SALÁRIO POR ACÚMULO DE CARGO/FUNÇÃO</t>
  </si>
  <si>
    <t>NEWTON CESAR DA SILVA LOPES / ANA CLÁUDIA PEREIRA DE MORAES</t>
  </si>
  <si>
    <t>BRENO HALLIDEY DE SOUSA BRITO MARTINS</t>
  </si>
  <si>
    <t>PALMAS</t>
  </si>
  <si>
    <t>TRT 10ª</t>
  </si>
  <si>
    <t>0001161-58.2026.5.10.0801</t>
  </si>
  <si>
    <t>06/10/2026, ÀS 08:40.</t>
  </si>
  <si>
    <t>ACÚMULO DE FUNÇÃO, ADICIONAL DE HORAS EXTRAS, ADICIONAL DE INSALUBRIDADE, DÉCIMO TERCEIRO SALÁRIO PROPORCIONAL, FÉRIAS PROPORCIONAIS, INDENIZAÇÃO POR DANO MORAL, MULTA DE 40% DO FGTS, REFLEXOS, VERBAS RESCISÓRIAS</t>
  </si>
  <si>
    <t>FRANKLLYN MIGUEL BARRETO MARTINS</t>
  </si>
  <si>
    <t>0000267-82.2026.5.10.0801</t>
  </si>
  <si>
    <t>28/07/2026, ÀS 11:00.</t>
  </si>
  <si>
    <t>HORAS EXTRAS, ADICIONAL NOTURNO, HONORÁRIOS ADVOCATÍCIOS, INDENIZAÇÃO POR DANO MORAL, INTERVALO INTERJORNADAS, INTERVALO INTRAJORNADA, MULTA DO ARTIGO 467 DA CLT, REFLEXOS, SALÁRIO POR FORA - INTEGRAÇÃO, VERBAS RESCISÓRIAS</t>
  </si>
  <si>
    <t>EDU MARIANO DE SOUZA JUNIOR</t>
  </si>
  <si>
    <t>VF GOMES LOCAÇÕES</t>
  </si>
  <si>
    <t xml:space="preserve">MARCIO IVAN THEISEN </t>
  </si>
  <si>
    <t xml:space="preserve">ITAITUBA </t>
  </si>
  <si>
    <t>TRT 8ª</t>
  </si>
  <si>
    <t>0000469-43.2026.5.08.0113</t>
  </si>
  <si>
    <t>28/09/2026, ÀS 10:00.</t>
  </si>
  <si>
    <t>AVISO PRÉVIO, ADICIONAL NOTURNO, ADICIONAL DE HORAS EXTRAS, FÉRIAS, FÉRIAS PROPORCIONAIS, HORAS EXTRAS, INDENIZAÇÃO POR DANO MORAL, REPOUSO SEMANAL REMUNERADO E FERIADO, RESCISÃO INDIRETA, SEGURO DESEMPREGO</t>
  </si>
  <si>
    <t>ESMERALDA PEDROSA GOMES</t>
  </si>
  <si>
    <t>JOSE DE BRITO MOREIRA</t>
  </si>
  <si>
    <t>CAPANEMA</t>
  </si>
  <si>
    <t>0000405-57.2026.5.08.0105</t>
  </si>
  <si>
    <t>02/07/2026, ÀS 08:10.</t>
  </si>
  <si>
    <t>HORAS EXTRAS, INDENIZAÇÃO POR DANO MORAL, INTERVALO INTRAJORNADA, MULTA DO ARTIGO 477 DA CLT, NULIDADE, VERBAS RESCISÓRIAS</t>
  </si>
  <si>
    <t>ROMOALDO JOSE OLIVEIRA DA SILVA / KAYLONPATRYCK DE OLIVEIRA CARNEIRO / DANILO ALBUQUERQUE DE CARVALHO</t>
  </si>
  <si>
    <t>SEVERIANO SILVA SANTANA</t>
  </si>
  <si>
    <t>2° / MARABÁ</t>
  </si>
  <si>
    <t>0000364-54.2026.5.08.0117</t>
  </si>
  <si>
    <t>01/09/2026, ÀS 10:00.</t>
  </si>
  <si>
    <t>RESCISÃO DO CONTRATO DE TRABALHO</t>
  </si>
  <si>
    <t>RUBENS AMARAL BERGAMINI / MIRELLE LETICIA GOULART DA SILVA</t>
  </si>
  <si>
    <t>GEANDERSON CORREA SOUZA</t>
  </si>
  <si>
    <t>0000343-90.2026.5.08.0113</t>
  </si>
  <si>
    <t>02/07/2026, ÀS 08:45.</t>
  </si>
  <si>
    <t>HORAS EXTRAS</t>
  </si>
  <si>
    <t>WILLKERSON ROMEU LOPES</t>
  </si>
  <si>
    <t>ANTONIO FRANCISCO TINOCO GAMA</t>
  </si>
  <si>
    <t>PARAGOMINAS</t>
  </si>
  <si>
    <t>0000371-49.2026.5.08.0116</t>
  </si>
  <si>
    <t>04/08/2026, ÀS 09:00.</t>
  </si>
  <si>
    <t>ADICIONAL DE INSALUBRIDADE</t>
  </si>
  <si>
    <t>WILLKERSON ROMEU LOPES / WERCELLI MARIA ANDRADE DOS SANTOS / NILSON NORMADES STRENZKE FILHO</t>
  </si>
  <si>
    <t>DHONES SILVA DE LIMA</t>
  </si>
  <si>
    <t>ITAITUBA</t>
  </si>
  <si>
    <t>0000050-23.2026.5.08.0113</t>
  </si>
  <si>
    <t>20/07/2026, ÀS 08:05.</t>
  </si>
  <si>
    <t>INDENIZAÇÃO POR DANO MORAL, INDENIZAÇÃO POR DANO MATERIAL</t>
  </si>
  <si>
    <t>JOSIMAR DAS DORES FELIX</t>
  </si>
  <si>
    <t>0000114-21.2026.5.08.0117</t>
  </si>
  <si>
    <t>RECURSO</t>
  </si>
  <si>
    <t>AGUARDANDO RECURSO</t>
  </si>
  <si>
    <t>HORAS EXTRAS, INDENIZAÇÃO POR DANO MORAL, INTERVALO INTRAJORNADA, SALÁRIO/DIFERENÇA SALARIAL</t>
  </si>
  <si>
    <t>CLEITON DA SILVA ISABEL</t>
  </si>
  <si>
    <t>HIUELITON NUNES DE ARAÚJO</t>
  </si>
  <si>
    <t>1° VARA / MARABÁ</t>
  </si>
  <si>
    <t>0000667-35.2025.5.08.0107</t>
  </si>
  <si>
    <t>AGUARDANDO SENTENÇA</t>
  </si>
  <si>
    <t>DECISÃO</t>
  </si>
  <si>
    <t>INDENIZAÇÃO POR DANO MORAL</t>
  </si>
  <si>
    <t>GENAISSON CAVALCANTE FEITOSA</t>
  </si>
  <si>
    <t>LOURIVAL DA SILVA MARINHO FILHO</t>
  </si>
  <si>
    <t>BREVES</t>
  </si>
  <si>
    <t>0000083-40.2026.5.08.0104</t>
  </si>
  <si>
    <t>CONCILIAÇÃO REALIZADA</t>
  </si>
  <si>
    <t>EXECUÇÃO</t>
  </si>
  <si>
    <t>RESCISÃO INDIRETA</t>
  </si>
  <si>
    <t>LAYANNE RAFAELLY MARINHO HONORATO</t>
  </si>
  <si>
    <t>JOSE ANDERSON DA SILVA</t>
  </si>
  <si>
    <t>PALMARES</t>
  </si>
  <si>
    <t>TRT 6ª</t>
  </si>
  <si>
    <t>0000305-83.2026.5.06.0291</t>
  </si>
  <si>
    <t>31/07/2026, ÀS 17:30.</t>
  </si>
  <si>
    <t>KARYNY FELIPE DA SILVA / HEMILLY GOMES GUSMAO</t>
  </si>
  <si>
    <t>GILVAN DE JESUS CUNHA</t>
  </si>
  <si>
    <t>ALMENARA</t>
  </si>
  <si>
    <t>TRT 3°</t>
  </si>
  <si>
    <t>0010314-47.2026.5.03.0046</t>
  </si>
  <si>
    <t>AGUARDANDO CONTRARRAZÕES DE EMBARGOS DE DECLARAÇÃO</t>
  </si>
  <si>
    <t>ADICIONAL DE HORAS EXTRAS, FGTS, HONORÁRIOS ADVOCATÍCIOS, HONORÁRIOS NA JUSTIÇA DO TRABALHO, HORAS EXTRAS, HORAS EXTRAS, INDENIZAÇÃO POR DANO MORAL, INTERVALO INTRAJORNADA, MULTA DE 40% DO FGTS, REFLEXOS</t>
  </si>
  <si>
    <t>ADEVADLDO DENADAI</t>
  </si>
  <si>
    <t>OURO PRETO DO OESTE</t>
  </si>
  <si>
    <t>TRT 14°</t>
  </si>
  <si>
    <t>0000195-50.2026.5.14.0101</t>
  </si>
  <si>
    <t>AGUARDANDO PLANILHA ATUALIZADA DE CÁLCULOS PARA PAGAMENTO DOS IMPOSTOS</t>
  </si>
  <si>
    <t>HONORÁRIOS ADVOCATÍCIOS, ADICIONAL NOTURNO, ADICIONAL DE HORAS EXTRAS, FGTS, FGTS, HORAS EXTRAS, HORAS EXTRAS, INTERVALO INTERJORNADAS, INTERVALO INTRAJORNADA, MULTA DE 40% DO FGTS, REFLEXOS, REPOUSO SEMANAL REMUNERADO E FERIADO, SUCUMBENCIAIS</t>
  </si>
  <si>
    <t>WELLINGTON DA SILVA LIMA</t>
  </si>
  <si>
    <t>VILHENA</t>
  </si>
  <si>
    <t>0001045-18.2025.5.14.0141</t>
  </si>
  <si>
    <t>21/07/2026, ÀS 9:00.</t>
  </si>
  <si>
    <t>ADICIONAL DE HORAS EXTRAS, ADICIONAL NOTURNO, ADICIONAL DE PERICULOSIDADE, FGTS, FGTS, HONORÁRIOS ADVOCATÍCIOS, HORAS EXTRAS, HORAS EXTRAS, INDENIZAÇÃO POR DANO MATERIAL, INDENIZAÇÃO POR DANO MORAL, INTERVALO INTERJORNADAS, INTERVALO INTRAJORNADA, INTERVALO INTRAJORNADA, MULTA DE 40% DO FGTS, REFLEXOS, REPOUSO SEMANAL REMUNERADO E FERIADO, SUCUMBENCIAIS</t>
  </si>
  <si>
    <t>JESSE RODRIGUES OLIVEIRA</t>
  </si>
  <si>
    <t xml:space="preserve">PIMENTA BUENO </t>
  </si>
  <si>
    <t>0000054-98.2026.5.14.0111</t>
  </si>
  <si>
    <t>AGUARDANDO CUMPRIMENTO DO ACORDO</t>
  </si>
  <si>
    <t>SUCUMBENCIAIS, ADICIONAL NOTURNO, ADICIONAL DE HORAS EXTRAS, FGTS, FGTS, HORAS EXTRAS, HORAS EXTRAS, INTERVALO INTERJORNADAS, INTERVALO INTRAJORNADA, MULTA DE 40% DO FGTS, PRORROGAÇÃO DO HORÁRIO NOTURNO, REFLEXOS, REPOUSO SEMANAL REMUNERADO E FERIADO</t>
  </si>
  <si>
    <t>WEVERTON FELIPE RIBEIRO DE OLIVEIRA</t>
  </si>
  <si>
    <t>0001046-03.2025.5.14.0141</t>
  </si>
  <si>
    <t>ZERADO</t>
  </si>
  <si>
    <t>ADICIONAL DE INSALUBRIDADE, ACÚMULO DE FUNÇÃO, ADICIONAL DE PERICULOSIDADE, EQUIPAMENTO DE PROTEÇÃO INDIVIDUAL - EPI, SALÁRIO POR ACÚMULO DE CARGO/FUNÇÃO</t>
  </si>
  <si>
    <t>GUILHERME RIBEIRO VENTURIN / JACKSON FRANCISCO OLIVEIRA</t>
  </si>
  <si>
    <t>REGINALDO PEREIRA DOS SANTOS</t>
  </si>
  <si>
    <t>JARU</t>
  </si>
  <si>
    <t>0000826-22.2025.5.14.0006</t>
  </si>
  <si>
    <t>INTEGRAÇÃO EM VERBAS RESCISÓRIAS, ADICIONAL NOTURNO, ADICIONAL DE HORAS EXTRAS, HONORÁRIOS ADVOCATÍCIOS, INDENIZAÇÃO POR DANO MORAL, INTERVALO INTRAJORNADA, MULTA DO ARTIGO 467 DA CLT, SALÁRIO POR ACÚMULO DE CARGO/FUNÇÃO, SALÁRIO POR FORA - INTEGRAÇÃO</t>
  </si>
  <si>
    <t>GLORIA CHRIS GORDON</t>
  </si>
  <si>
    <t>REINILTON SERGIO DE SOUZA</t>
  </si>
  <si>
    <t>PIMENTA BUENO</t>
  </si>
  <si>
    <t>0000674-63.2025.5.14.0041</t>
  </si>
  <si>
    <t>ADICIONAL DE INSALUBRIDADE, ANOTAÇÃO/BAIXA/RETIFICAÇÃO, MULTA DO ARTIGO 467 DA CLT</t>
  </si>
  <si>
    <t>0000667-71.2025.5.14.0041</t>
  </si>
  <si>
    <t>06/07/2026, ÀS 11:00.</t>
  </si>
  <si>
    <t>ADICIONAL DE INSALUBRIDADE, ANOTAÇÃO/BAIXA/RETIFICAÇÃO, HONORÁRIOS ADVOCATÍCIOS, MULTA DO ARTIGO 467 DA CLT</t>
  </si>
  <si>
    <t>CELIO CRESSENCIO DE PAULA</t>
  </si>
  <si>
    <t>0000616-44.2025.5.14.0111</t>
  </si>
  <si>
    <t>ADICIONAL DE HORAS EXTRAS, ADICIONAL NOTURNO, INDENIZAÇÃO POR DANO MORAL, INTEGRAÇÃO EM VERBAS RESCISÓRIAS, INTERVALO INTERJORNADAS, INTERVALO INTRAJORNADA, MULTA DO ARTIGO 467 DA CLT</t>
  </si>
  <si>
    <t>0000615-59.2025.5.14.0111</t>
  </si>
  <si>
    <t>OBSERVAÇÕES</t>
  </si>
  <si>
    <t>ECONOMIA</t>
  </si>
  <si>
    <t>CUSTO TOTAL</t>
  </si>
  <si>
    <t>VALOR DO ACORDO</t>
  </si>
  <si>
    <t>ACORDO</t>
  </si>
  <si>
    <t>STATUS</t>
  </si>
  <si>
    <t>VALOR CONDENAÇÃO</t>
  </si>
  <si>
    <t>DATA DA PROX. AUDIÊNCIA</t>
  </si>
  <si>
    <t>SITUAÇÃO</t>
  </si>
  <si>
    <t>DATA DA SENTENÇA</t>
  </si>
  <si>
    <t>FASE PROCESSUAL</t>
  </si>
  <si>
    <t>MATÉRIA / PEDIDOS FORMULADOS</t>
  </si>
  <si>
    <t>VALOR DA CAUSA</t>
  </si>
  <si>
    <t>ADVOGADO RECLAMANTE</t>
  </si>
  <si>
    <t>ADVOGADO RECLAMADO</t>
  </si>
  <si>
    <t>RECLAMADA</t>
  </si>
  <si>
    <t>RECLAMANTE</t>
  </si>
  <si>
    <t>VARA DO TRABALHO</t>
  </si>
  <si>
    <t>TRT / REGIÃO</t>
  </si>
  <si>
    <t>DATA DE AJUIZ.</t>
  </si>
  <si>
    <t>N° PROCESSO</t>
  </si>
  <si>
    <t>PROCESSOS  - CONTROLE DE PROCESSOS TRABALHISTAS</t>
  </si>
  <si>
    <t>PROCESSOS COM ADVOGADOS RECLAMADOS</t>
  </si>
  <si>
    <t>ADVOGADOS RECLAMADOS</t>
  </si>
  <si>
    <t xml:space="preserve">PROCESSOS COM A SITUAÇÃO </t>
  </si>
  <si>
    <t>QTD DE PROCESSOS</t>
  </si>
  <si>
    <t>ADVOGADOS RECLAMANTES</t>
  </si>
  <si>
    <t>PROCESSOS POR REGIÃO</t>
  </si>
  <si>
    <t>REGIÕES</t>
  </si>
  <si>
    <t>ARQUIVADO</t>
  </si>
  <si>
    <t>SUSPENSO</t>
  </si>
  <si>
    <t>PROCESSOS POR FASE</t>
  </si>
  <si>
    <t>FASE</t>
  </si>
  <si>
    <t>TOTAL DE PROCESSOS</t>
  </si>
  <si>
    <t>VALOR TOTAL A PAGAR</t>
  </si>
  <si>
    <t>TOTAL DE VALOR DE ACORDO</t>
  </si>
  <si>
    <t>TOTAL DE VALOR DE CAUSA</t>
  </si>
  <si>
    <t>TOTAL DE CONDENAÇÃO</t>
  </si>
  <si>
    <t>STATUS DE PROCESSOS</t>
  </si>
  <si>
    <t>DASHBOARD - CONTROLE DE PROCESSOS TRABALHISTAS</t>
  </si>
  <si>
    <t>0000656-03.2026.5.06.0341</t>
  </si>
  <si>
    <t>ACIDENTE DE TRABALHO, ACIDENTE DE TRABALHO, ESTABILIDADE ACIDENTÁRIA, INDENIZAÇÃO POR DANO ESTÉTICO, PENSÃO VITALÍCIA, RESCISÃO INDIRETA</t>
  </si>
  <si>
    <t>PESQUEIRA</t>
  </si>
  <si>
    <t>ISRAEL NEPOSIANO ALVES SOBRAL</t>
  </si>
  <si>
    <t>10/07/2026, ÀS  08:45.</t>
  </si>
  <si>
    <t>FLAVIA OLIVEIRA LEITE</t>
  </si>
  <si>
    <t>0000381-59.2026.5.14.0041</t>
  </si>
  <si>
    <t>FABIO SANTOS DA SILVA</t>
  </si>
  <si>
    <t>CACOAL</t>
  </si>
  <si>
    <t>DOENÇA OCUPACIONAL, DANO MORAL / MATERIAL, DOENÇA OCUPACIONAL, ESTABILIDADE ACIDENTÁRIA, HONORÁRIOS ADVOCATÍCIOS, INDENIZAÇÃO POR DANO MORAL, PENSÃO VITALÍCIA</t>
  </si>
  <si>
    <t>07/07/2026, ÀS  08:40.</t>
  </si>
  <si>
    <t>JOAO PEDRO BORGES LOPES / GUSTAVO VIEIRA DO NASCIMENTO</t>
  </si>
  <si>
    <t>AGUARDANDO PLANILHA ATUALIZADA</t>
  </si>
  <si>
    <t>AGUARDANDO CONTRARRAZÕES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</si>
</sst>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3" x14ac:knownFonts="1">
    <font>
      <sz val="11"/>
      <color theme="1"/>
      <name val="Calibri"/>
      <family val="2"/>
      <scheme val="minor"/>
    </font>
    <font>
      <sz val="11"/>
      <color theme="1"/>
      <name val="Calibri"/>
      <family val="2"/>
      <scheme val="minor"/>
    </font>
    <font>
      <b/>
      <sz val="36"/>
      <color theme="0"/>
      <name val="Calibri"/>
      <family val="2"/>
      <scheme val="minor"/>
    </font>
    <font>
      <sz val="16"/>
      <color theme="1"/>
      <name val="Calibri"/>
      <family val="2"/>
    </font>
    <font>
      <sz val="16"/>
      <color theme="0"/>
      <name val="Calibri"/>
      <family val="2"/>
    </font>
    <font>
      <sz val="36"/>
      <color theme="1"/>
      <name val="Calibri"/>
      <family val="2"/>
    </font>
    <font>
      <b/>
      <sz val="36"/>
      <color theme="0"/>
      <name val="Calibri"/>
      <family val="2"/>
    </font>
    <font>
      <sz val="20"/>
      <color theme="1"/>
      <name val="Calibri"/>
      <family val="2"/>
    </font>
    <font>
      <sz val="20"/>
      <color rgb="FF000000"/>
      <name val="Calibri"/>
      <family val="2"/>
    </font>
    <font>
      <sz val="20"/>
      <color rgb="FFFFFFFF"/>
      <name val="Calibri"/>
      <family val="2"/>
    </font>
    <font>
      <sz val="20"/>
      <color theme="0"/>
      <name val="Calibri"/>
      <family val="2"/>
    </font>
    <font>
      <sz val="20"/>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0" tint="-4.9989318521683403E-2"/>
        <bgColor indexed="64"/>
      </patternFill>
    </fill>
  </fills>
  <borders count="9">
    <border>
      <left/>
      <right/>
      <top/>
      <bottom/>
      <diagonal/>
    </border>
    <border>
      <left/>
      <right style="thin">
        <color theme="4" tint="-0.249977111117893"/>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bottom/>
      <diagonal/>
    </border>
  </borders>
  <cellStyleXfs count="2">
    <xf numFmtId="0" fontId="0" fillId="0" borderId="0"/>
    <xf numFmtId="44" fontId="1" fillId="0" borderId="0" applyFont="0" applyFill="0" applyBorder="0" applyAlignment="0" applyProtection="0"/>
  </cellStyleXfs>
  <cellXfs count="60">
    <xf numFmtId="0" fontId="0" fillId="0" borderId="0" xfId="0"/>
    <xf numFmtId="0" fontId="0" fillId="0" borderId="0" xfId="0" applyAlignment="1">
      <alignment wrapText="1"/>
    </xf>
    <xf numFmtId="0" fontId="4" fillId="2" borderId="4" xfId="0" applyFont="1" applyFill="1" applyBorder="1" applyAlignment="1">
      <alignment horizontal="center" vertical="center"/>
    </xf>
    <xf numFmtId="0" fontId="3" fillId="0" borderId="0" xfId="0" applyFont="1"/>
    <xf numFmtId="0" fontId="5" fillId="0" borderId="0" xfId="0" applyFont="1"/>
    <xf numFmtId="0" fontId="5" fillId="2" borderId="0" xfId="0" applyFont="1" applyFill="1"/>
    <xf numFmtId="0" fontId="0" fillId="2" borderId="0" xfId="0" applyFill="1"/>
    <xf numFmtId="0" fontId="6" fillId="2" borderId="0" xfId="0" applyFont="1" applyFill="1" applyAlignment="1">
      <alignment horizontal="center" vertical="center"/>
    </xf>
    <xf numFmtId="44" fontId="5" fillId="3" borderId="6" xfId="0" applyNumberFormat="1" applyFont="1" applyFill="1" applyBorder="1" applyAlignment="1">
      <alignment horizontal="center" vertical="center"/>
    </xf>
    <xf numFmtId="44" fontId="5" fillId="3" borderId="8" xfId="0" applyNumberFormat="1" applyFont="1" applyFill="1" applyBorder="1" applyAlignment="1">
      <alignment horizontal="center" vertical="center"/>
    </xf>
    <xf numFmtId="44" fontId="5" fillId="3" borderId="7" xfId="0" applyNumberFormat="1" applyFont="1" applyFill="1" applyBorder="1" applyAlignment="1">
      <alignment horizontal="center" vertical="center"/>
    </xf>
    <xf numFmtId="0" fontId="2" fillId="2" borderId="5" xfId="0" applyFont="1" applyFill="1" applyBorder="1" applyAlignment="1">
      <alignment horizontal="center" vertical="center" wrapText="1"/>
    </xf>
    <xf numFmtId="44" fontId="7" fillId="0" borderId="4" xfId="0" applyNumberFormat="1" applyFont="1" applyBorder="1" applyAlignment="1">
      <alignment vertical="center"/>
    </xf>
    <xf numFmtId="44" fontId="8" fillId="0" borderId="4" xfId="0" applyNumberFormat="1" applyFont="1" applyBorder="1" applyAlignment="1">
      <alignment vertical="center"/>
    </xf>
    <xf numFmtId="44" fontId="7" fillId="0" borderId="4" xfId="0" applyNumberFormat="1" applyFont="1" applyBorder="1" applyAlignment="1">
      <alignment horizontal="center" vertical="center"/>
    </xf>
    <xf numFmtId="0" fontId="7" fillId="0" borderId="4" xfId="0" applyFont="1" applyBorder="1" applyAlignment="1">
      <alignment horizontal="center" vertical="center"/>
    </xf>
    <xf numFmtId="0" fontId="9" fillId="2" borderId="4" xfId="0" applyFont="1" applyFill="1" applyBorder="1" applyAlignment="1">
      <alignment horizontal="center" vertical="center"/>
    </xf>
    <xf numFmtId="0" fontId="10" fillId="2" borderId="4" xfId="0" applyFont="1" applyFill="1" applyBorder="1" applyAlignment="1">
      <alignment horizontal="center" vertical="center"/>
    </xf>
    <xf numFmtId="0" fontId="7" fillId="0" borderId="4" xfId="0" applyFont="1" applyBorder="1" applyAlignment="1">
      <alignment vertical="center"/>
    </xf>
    <xf numFmtId="0" fontId="9" fillId="2" borderId="4" xfId="0" applyFont="1" applyFill="1" applyBorder="1" applyAlignment="1">
      <alignment horizontal="center" vertical="center"/>
    </xf>
    <xf numFmtId="0" fontId="7" fillId="3" borderId="4" xfId="0" applyFont="1" applyFill="1" applyBorder="1" applyAlignment="1">
      <alignment horizontal="center" vertical="center"/>
    </xf>
    <xf numFmtId="0" fontId="7" fillId="0" borderId="4" xfId="0" applyFont="1" applyBorder="1"/>
    <xf numFmtId="0" fontId="7" fillId="4" borderId="4" xfId="0" applyFont="1" applyFill="1" applyBorder="1"/>
    <xf numFmtId="0" fontId="7" fillId="4" borderId="4" xfId="0" applyFont="1" applyFill="1" applyBorder="1" applyAlignment="1">
      <alignment horizontal="center" vertical="center"/>
    </xf>
    <xf numFmtId="0" fontId="7" fillId="0" borderId="4" xfId="0" applyFont="1" applyBorder="1" applyAlignment="1">
      <alignment vertical="center" wrapText="1"/>
    </xf>
    <xf numFmtId="0" fontId="7" fillId="4" borderId="4" xfId="0" applyFont="1" applyFill="1" applyBorder="1" applyAlignment="1">
      <alignment vertical="center" wrapText="1"/>
    </xf>
    <xf numFmtId="0" fontId="7" fillId="0" borderId="0" xfId="0" applyFont="1"/>
    <xf numFmtId="0" fontId="7" fillId="4" borderId="4" xfId="0" applyFont="1" applyFill="1" applyBorder="1" applyAlignment="1">
      <alignment vertical="center"/>
    </xf>
    <xf numFmtId="0" fontId="10" fillId="2" borderId="4" xfId="0" applyFont="1" applyFill="1" applyBorder="1" applyAlignment="1">
      <alignment horizontal="center" vertical="center" wrapText="1"/>
    </xf>
    <xf numFmtId="0" fontId="11" fillId="0" borderId="4" xfId="0" applyFont="1" applyBorder="1" applyAlignment="1">
      <alignment horizontal="left" vertical="center" wrapText="1"/>
    </xf>
    <xf numFmtId="0" fontId="10" fillId="2" borderId="3"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1" xfId="0" applyFont="1" applyFill="1" applyBorder="1" applyAlignment="1">
      <alignment horizontal="center" vertical="center"/>
    </xf>
    <xf numFmtId="0" fontId="11" fillId="0" borderId="4" xfId="0" applyFont="1" applyBorder="1" applyAlignment="1">
      <alignment horizontal="left" vertical="center" wrapText="1"/>
    </xf>
    <xf numFmtId="0" fontId="11" fillId="0" borderId="4" xfId="0" applyFont="1" applyBorder="1" applyAlignment="1">
      <alignment horizontal="left" vertical="center"/>
    </xf>
    <xf numFmtId="0" fontId="11" fillId="3" borderId="4" xfId="0" applyFont="1" applyFill="1" applyBorder="1" applyAlignment="1">
      <alignment horizontal="center" vertical="center" wrapText="1"/>
    </xf>
    <xf numFmtId="0" fontId="11" fillId="0" borderId="0" xfId="0" applyFont="1" applyAlignment="1">
      <alignment wrapText="1"/>
    </xf>
    <xf numFmtId="0" fontId="12" fillId="0" borderId="4" xfId="0" applyFont="1" applyBorder="1" applyAlignment="1">
      <alignment horizontal="left" vertical="center" wrapText="1"/>
    </xf>
    <xf numFmtId="14" fontId="11" fillId="0" borderId="4" xfId="0" applyNumberFormat="1" applyFont="1" applyBorder="1" applyAlignment="1">
      <alignment horizontal="center" vertical="center" wrapText="1"/>
    </xf>
    <xf numFmtId="0" fontId="11" fillId="0" borderId="4" xfId="0" applyFont="1" applyBorder="1" applyAlignment="1">
      <alignment horizontal="center" vertical="center" wrapText="1"/>
    </xf>
    <xf numFmtId="44" fontId="12" fillId="0" borderId="4" xfId="1" applyFont="1" applyBorder="1" applyAlignment="1">
      <alignment horizontal="center" vertical="center" wrapText="1"/>
    </xf>
    <xf numFmtId="14" fontId="11" fillId="0" borderId="4" xfId="1" applyNumberFormat="1" applyFont="1" applyBorder="1" applyAlignment="1">
      <alignment horizontal="center" vertical="center" wrapText="1"/>
    </xf>
    <xf numFmtId="0" fontId="12" fillId="0" borderId="4" xfId="0" applyFont="1" applyBorder="1" applyAlignment="1">
      <alignment horizontal="center" vertical="center" wrapText="1"/>
    </xf>
    <xf numFmtId="44" fontId="12" fillId="0" borderId="4" xfId="0" applyNumberFormat="1" applyFont="1" applyBorder="1" applyAlignment="1">
      <alignment horizontal="center" vertical="center" wrapText="1"/>
    </xf>
    <xf numFmtId="44" fontId="12" fillId="0" borderId="0" xfId="1" applyFont="1" applyAlignment="1">
      <alignment vertical="center" wrapText="1"/>
    </xf>
    <xf numFmtId="0" fontId="12" fillId="0" borderId="6" xfId="0" applyFont="1" applyBorder="1" applyAlignment="1">
      <alignment horizontal="left" vertical="center" wrapText="1"/>
    </xf>
    <xf numFmtId="14" fontId="11" fillId="0" borderId="6" xfId="0" applyNumberFormat="1" applyFont="1" applyBorder="1" applyAlignment="1">
      <alignment horizontal="center" vertical="center" wrapText="1"/>
    </xf>
    <xf numFmtId="0" fontId="11" fillId="0" borderId="6" xfId="0" applyFont="1" applyBorder="1" applyAlignment="1">
      <alignment horizontal="center" vertical="center" wrapText="1"/>
    </xf>
    <xf numFmtId="0" fontId="11" fillId="0" borderId="6" xfId="0" applyFont="1" applyBorder="1" applyAlignment="1">
      <alignment horizontal="left" vertical="center" wrapText="1"/>
    </xf>
    <xf numFmtId="44" fontId="12" fillId="0" borderId="6" xfId="1" applyFont="1" applyBorder="1" applyAlignment="1">
      <alignment horizontal="center" vertical="center" wrapText="1"/>
    </xf>
    <xf numFmtId="14" fontId="11" fillId="0" borderId="6" xfId="1" applyNumberFormat="1" applyFont="1" applyBorder="1" applyAlignment="1">
      <alignment horizontal="center" vertical="center" wrapText="1"/>
    </xf>
    <xf numFmtId="0" fontId="12" fillId="0" borderId="6" xfId="0" applyFont="1" applyBorder="1" applyAlignment="1">
      <alignment horizontal="center" vertical="center" wrapText="1"/>
    </xf>
    <xf numFmtId="0" fontId="12" fillId="0" borderId="4" xfId="0" applyFont="1" applyBorder="1" applyAlignment="1">
      <alignment horizontal="left" vertical="center"/>
    </xf>
    <xf numFmtId="14" fontId="11" fillId="0" borderId="4" xfId="0" applyNumberFormat="1" applyFont="1" applyBorder="1" applyAlignment="1">
      <alignment horizontal="center" vertical="center"/>
    </xf>
    <xf numFmtId="0" fontId="11" fillId="0" borderId="4" xfId="0" applyFont="1" applyBorder="1" applyAlignment="1">
      <alignment horizontal="center" vertical="center"/>
    </xf>
    <xf numFmtId="0" fontId="11" fillId="0" borderId="4" xfId="0" applyFont="1" applyBorder="1" applyAlignment="1">
      <alignment horizontal="left" vertical="center"/>
    </xf>
    <xf numFmtId="44" fontId="12" fillId="0" borderId="4" xfId="1" applyFont="1" applyBorder="1" applyAlignment="1">
      <alignment horizontal="center" vertical="center"/>
    </xf>
    <xf numFmtId="0" fontId="12" fillId="0" borderId="4" xfId="0" applyFont="1" applyBorder="1" applyAlignment="1">
      <alignment horizontal="center" vertical="center"/>
    </xf>
    <xf numFmtId="0" fontId="0" fillId="0" borderId="0" xfId="0" applyBorder="1"/>
    <xf numFmtId="14" fontId="7" fillId="0" borderId="4" xfId="0" applyNumberFormat="1" applyFont="1" applyBorder="1" applyAlignment="1">
      <alignment horizontal="center" vertic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pieChart>
        <c:varyColors val="1"/>
        <c:ser>
          <c:idx val="0"/>
          <c:order val="0"/>
          <c:tx>
            <c:v>VALORES</c:v>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2-A37E-49A4-8FFC-B8B006C316B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1-A37E-49A4-8FFC-B8B006C316BD}"/>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4-A37E-49A4-8FFC-B8B006C316BD}"/>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3-A37E-49A4-8FFC-B8B006C316BD}"/>
              </c:ext>
            </c:extLst>
          </c:dPt>
          <c:dLbls>
            <c:spPr>
              <a:noFill/>
              <a:ln>
                <a:noFill/>
              </a:ln>
              <a:effectLst/>
            </c:spPr>
            <c:txPr>
              <a:bodyPr rot="0" spcFirstLastPara="1" vertOverflow="ellipsis" vert="horz" wrap="square" anchor="ctr" anchorCtr="1"/>
              <a:lstStyle/>
              <a:p>
                <a:pPr>
                  <a:defRPr sz="4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DASHBOARD!$B$3:$E$3</c:f>
              <c:strCache>
                <c:ptCount val="4"/>
                <c:pt idx="0">
                  <c:v>TOTAL DE CONDENAÇÃO</c:v>
                </c:pt>
                <c:pt idx="1">
                  <c:v>TOTAL DE VALOR DE CAUSA</c:v>
                </c:pt>
                <c:pt idx="2">
                  <c:v>TOTAL DE VALOR DE ACORDO</c:v>
                </c:pt>
                <c:pt idx="3">
                  <c:v>VALOR TOTAL A PAGAR</c:v>
                </c:pt>
              </c:strCache>
            </c:strRef>
          </c:cat>
          <c:val>
            <c:numRef>
              <c:f>DASHBOARD!$B$4:$E$4</c:f>
              <c:numCache>
                <c:formatCode>_("R$"* #,##0.00_);_("R$"* \(#,##0.00\);_("R$"* "-"??_);_(@_)</c:formatCode>
                <c:ptCount val="4"/>
                <c:pt idx="0">
                  <c:v>816428.3</c:v>
                </c:pt>
                <c:pt idx="1">
                  <c:v>6776535.9300000016</c:v>
                </c:pt>
                <c:pt idx="2">
                  <c:v>225000</c:v>
                </c:pt>
                <c:pt idx="3">
                  <c:v>643231.54999999993</c:v>
                </c:pt>
              </c:numCache>
            </c:numRef>
          </c:val>
          <c:extLst>
            <c:ext xmlns:c16="http://schemas.microsoft.com/office/drawing/2014/chart" uri="{C3380CC4-5D6E-409C-BE32-E72D297353CC}">
              <c16:uniqueId val="{00000000-A37E-49A4-8FFC-B8B006C316B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2000" b="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pieChart>
        <c:varyColors val="1"/>
        <c:ser>
          <c:idx val="0"/>
          <c:order val="0"/>
          <c:tx>
            <c:strRef>
              <c:f>DASHBOARD!$K$6</c:f>
              <c:strCache>
                <c:ptCount val="1"/>
                <c:pt idx="0">
                  <c:v>PROCESSOS POR FASE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06CC-4531-A056-76C0975797F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1-06CC-4531-A056-76C0975797F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4-06CC-4531-A056-76C0975797FB}"/>
              </c:ext>
            </c:extLst>
          </c:dPt>
          <c:dPt>
            <c:idx val="3"/>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06CC-4531-A056-76C0975797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C7-4611-B6DE-7FC850FB2C8E}"/>
              </c:ext>
            </c:extLst>
          </c:dPt>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DASHBOARD!$J$7:$J$11</c:f>
              <c:strCache>
                <c:ptCount val="5"/>
                <c:pt idx="0">
                  <c:v>RECURSO</c:v>
                </c:pt>
                <c:pt idx="1">
                  <c:v>INSTRUÇÃO</c:v>
                </c:pt>
                <c:pt idx="2">
                  <c:v>EXECUÇÃO</c:v>
                </c:pt>
                <c:pt idx="3">
                  <c:v>DECISÃO</c:v>
                </c:pt>
                <c:pt idx="4">
                  <c:v>INICIAL</c:v>
                </c:pt>
              </c:strCache>
            </c:strRef>
          </c:cat>
          <c:val>
            <c:numRef>
              <c:f>DASHBOARD!$K$7:$K$11</c:f>
              <c:numCache>
                <c:formatCode>General</c:formatCode>
                <c:ptCount val="5"/>
                <c:pt idx="0">
                  <c:v>5</c:v>
                </c:pt>
                <c:pt idx="1">
                  <c:v>14</c:v>
                </c:pt>
                <c:pt idx="2">
                  <c:v>3</c:v>
                </c:pt>
                <c:pt idx="3">
                  <c:v>1</c:v>
                </c:pt>
                <c:pt idx="4">
                  <c:v>9</c:v>
                </c:pt>
              </c:numCache>
            </c:numRef>
          </c:val>
          <c:extLst>
            <c:ext xmlns:c16="http://schemas.microsoft.com/office/drawing/2014/chart" uri="{C3380CC4-5D6E-409C-BE32-E72D297353CC}">
              <c16:uniqueId val="{00000000-06CC-4531-A056-76C0975797F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200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pieChart>
        <c:varyColors val="1"/>
        <c:ser>
          <c:idx val="0"/>
          <c:order val="0"/>
          <c:tx>
            <c:strRef>
              <c:f>DASHBOARD!$S$5</c:f>
              <c:strCache>
                <c:ptCount val="1"/>
                <c:pt idx="0">
                  <c:v>STATUS DE PROCESSOS</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7363-421A-AFB7-7C647B11FF72}"/>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7363-421A-AFB7-7C647B11FF7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3-7363-421A-AFB7-7C647B11FF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7363-421A-AFB7-7C647B11FF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7363-421A-AFB7-7C647B11FF72}"/>
              </c:ext>
            </c:extLst>
          </c:dPt>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DASHBOARD!$R$6:$R$10</c:f>
              <c:strCache>
                <c:ptCount val="5"/>
                <c:pt idx="0">
                  <c:v>EM ANDAMENTO</c:v>
                </c:pt>
                <c:pt idx="1">
                  <c:v>ENCERRADO</c:v>
                </c:pt>
                <c:pt idx="2">
                  <c:v>RECURSO</c:v>
                </c:pt>
                <c:pt idx="3">
                  <c:v>SUSPENSO</c:v>
                </c:pt>
                <c:pt idx="4">
                  <c:v>ARQUIVADO</c:v>
                </c:pt>
              </c:strCache>
            </c:strRef>
          </c:cat>
          <c:val>
            <c:numRef>
              <c:f>DASHBOARD!$S$6:$S$10</c:f>
              <c:numCache>
                <c:formatCode>General</c:formatCode>
                <c:ptCount val="5"/>
                <c:pt idx="0">
                  <c:v>30</c:v>
                </c:pt>
                <c:pt idx="1">
                  <c:v>1</c:v>
                </c:pt>
                <c:pt idx="2">
                  <c:v>1</c:v>
                </c:pt>
                <c:pt idx="3">
                  <c:v>0</c:v>
                </c:pt>
                <c:pt idx="4">
                  <c:v>0</c:v>
                </c:pt>
              </c:numCache>
            </c:numRef>
          </c:val>
          <c:extLst>
            <c:ext xmlns:c16="http://schemas.microsoft.com/office/drawing/2014/chart" uri="{C3380CC4-5D6E-409C-BE32-E72D297353CC}">
              <c16:uniqueId val="{00000000-7363-421A-AFB7-7C647B11FF72}"/>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20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0"/>
          <c:order val="0"/>
          <c:tx>
            <c:strRef>
              <c:f>DASHBOARD!$C$24</c:f>
              <c:strCache>
                <c:ptCount val="1"/>
                <c:pt idx="0">
                  <c:v>PROCESSOS POR REGIÃO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4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DASHBOARD!$B$25:$B$31</c:f>
              <c:strCache>
                <c:ptCount val="7"/>
                <c:pt idx="0">
                  <c:v>TRT 3°</c:v>
                </c:pt>
                <c:pt idx="1">
                  <c:v>TRT 6ª</c:v>
                </c:pt>
                <c:pt idx="2">
                  <c:v>TRT 8ª</c:v>
                </c:pt>
                <c:pt idx="3">
                  <c:v>TRT 10ª</c:v>
                </c:pt>
                <c:pt idx="4">
                  <c:v>TRT 14°</c:v>
                </c:pt>
                <c:pt idx="5">
                  <c:v>TRT 19ª</c:v>
                </c:pt>
                <c:pt idx="6">
                  <c:v>TRT 23ª</c:v>
                </c:pt>
              </c:strCache>
            </c:strRef>
          </c:cat>
          <c:val>
            <c:numRef>
              <c:f>DASHBOARD!$C$25:$C$31</c:f>
              <c:numCache>
                <c:formatCode>General</c:formatCode>
                <c:ptCount val="7"/>
                <c:pt idx="0">
                  <c:v>1</c:v>
                </c:pt>
                <c:pt idx="1">
                  <c:v>2</c:v>
                </c:pt>
                <c:pt idx="2">
                  <c:v>9</c:v>
                </c:pt>
                <c:pt idx="3">
                  <c:v>2</c:v>
                </c:pt>
                <c:pt idx="4">
                  <c:v>10</c:v>
                </c:pt>
                <c:pt idx="5">
                  <c:v>1</c:v>
                </c:pt>
                <c:pt idx="6">
                  <c:v>7</c:v>
                </c:pt>
              </c:numCache>
            </c:numRef>
          </c:val>
          <c:extLst>
            <c:ext xmlns:c16="http://schemas.microsoft.com/office/drawing/2014/chart" uri="{C3380CC4-5D6E-409C-BE32-E72D297353CC}">
              <c16:uniqueId val="{00000004-3DC7-4C18-B3D4-E2A8963C51D1}"/>
            </c:ext>
          </c:extLst>
        </c:ser>
        <c:dLbls>
          <c:dLblPos val="outEnd"/>
          <c:showLegendKey val="0"/>
          <c:showVal val="1"/>
          <c:showCatName val="0"/>
          <c:showSerName val="0"/>
          <c:showPercent val="0"/>
          <c:showBubbleSize val="0"/>
        </c:dLbls>
        <c:gapWidth val="444"/>
        <c:overlap val="-90"/>
        <c:axId val="1034143152"/>
        <c:axId val="1034144592"/>
      </c:barChart>
      <c:catAx>
        <c:axId val="103414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crossAx val="1034144592"/>
        <c:crosses val="autoZero"/>
        <c:auto val="1"/>
        <c:lblAlgn val="ctr"/>
        <c:lblOffset val="100"/>
        <c:noMultiLvlLbl val="0"/>
      </c:catAx>
      <c:valAx>
        <c:axId val="1034144592"/>
        <c:scaling>
          <c:orientation val="minMax"/>
        </c:scaling>
        <c:delete val="1"/>
        <c:axPos val="l"/>
        <c:numFmt formatCode="General" sourceLinked="1"/>
        <c:majorTickMark val="none"/>
        <c:minorTickMark val="none"/>
        <c:tickLblPos val="nextTo"/>
        <c:crossAx val="103414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sz="2000" b="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0"/>
          <c:order val="0"/>
          <c:tx>
            <c:strRef>
              <c:f>DASHBOARD!$C$34</c:f>
              <c:strCache>
                <c:ptCount val="1"/>
                <c:pt idx="0">
                  <c:v>PROCESSOS COM A SITUAÇÃO </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4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DASHBOARD!$B$35:$B$41</c:f>
              <c:strCache>
                <c:ptCount val="7"/>
                <c:pt idx="0">
                  <c:v>AGUARDANDO AUDIÊNCIA</c:v>
                </c:pt>
                <c:pt idx="1">
                  <c:v>AGUARDANDO PERICIA</c:v>
                </c:pt>
                <c:pt idx="2">
                  <c:v>AGUARDANDO PLANILHA ATUALIZADA</c:v>
                </c:pt>
                <c:pt idx="3">
                  <c:v>AGUARDANDO CONTRARRAZÕES</c:v>
                </c:pt>
                <c:pt idx="4">
                  <c:v>AGUARDANDO SENTENÇA</c:v>
                </c:pt>
                <c:pt idx="5">
                  <c:v>CONCILIAÇÃO REALIZADA</c:v>
                </c:pt>
                <c:pt idx="6">
                  <c:v>AGUARDANDO RECURSO</c:v>
                </c:pt>
              </c:strCache>
            </c:strRef>
          </c:cat>
          <c:val>
            <c:numRef>
              <c:f>DASHBOARD!$C$35:$C$41</c:f>
              <c:numCache>
                <c:formatCode>General</c:formatCode>
                <c:ptCount val="7"/>
                <c:pt idx="0">
                  <c:v>19</c:v>
                </c:pt>
                <c:pt idx="1">
                  <c:v>6</c:v>
                </c:pt>
                <c:pt idx="2">
                  <c:v>1</c:v>
                </c:pt>
                <c:pt idx="3">
                  <c:v>1</c:v>
                </c:pt>
                <c:pt idx="4">
                  <c:v>1</c:v>
                </c:pt>
                <c:pt idx="5">
                  <c:v>1</c:v>
                </c:pt>
                <c:pt idx="6">
                  <c:v>1</c:v>
                </c:pt>
              </c:numCache>
            </c:numRef>
          </c:val>
          <c:extLst>
            <c:ext xmlns:c16="http://schemas.microsoft.com/office/drawing/2014/chart" uri="{C3380CC4-5D6E-409C-BE32-E72D297353CC}">
              <c16:uniqueId val="{00000000-3E82-492C-9A1C-8A15D45A15E1}"/>
            </c:ext>
          </c:extLst>
        </c:ser>
        <c:dLbls>
          <c:dLblPos val="outEnd"/>
          <c:showLegendKey val="0"/>
          <c:showVal val="1"/>
          <c:showCatName val="0"/>
          <c:showSerName val="0"/>
          <c:showPercent val="0"/>
          <c:showBubbleSize val="0"/>
        </c:dLbls>
        <c:gapWidth val="444"/>
        <c:overlap val="-90"/>
        <c:axId val="1870709552"/>
        <c:axId val="1870710032"/>
      </c:barChart>
      <c:catAx>
        <c:axId val="1870709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crossAx val="1870710032"/>
        <c:crosses val="autoZero"/>
        <c:auto val="1"/>
        <c:lblAlgn val="ctr"/>
        <c:lblOffset val="100"/>
        <c:noMultiLvlLbl val="0"/>
      </c:catAx>
      <c:valAx>
        <c:axId val="1870710032"/>
        <c:scaling>
          <c:orientation val="minMax"/>
        </c:scaling>
        <c:delete val="1"/>
        <c:axPos val="l"/>
        <c:numFmt formatCode="General" sourceLinked="1"/>
        <c:majorTickMark val="none"/>
        <c:minorTickMark val="none"/>
        <c:tickLblPos val="nextTo"/>
        <c:crossAx val="187070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sz="2000" b="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0"/>
          <c:order val="0"/>
          <c:tx>
            <c:strRef>
              <c:f>DASHBOARD!$C$45</c:f>
              <c:strCache>
                <c:ptCount val="1"/>
                <c:pt idx="0">
                  <c:v>PROCESSOS COM ADVOGADOS RECLAMADOS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4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DASHBOARD!$B$46:$B$51</c:f>
              <c:strCache>
                <c:ptCount val="6"/>
                <c:pt idx="0">
                  <c:v>CLEITON DA SILVA ISABEL</c:v>
                </c:pt>
                <c:pt idx="1">
                  <c:v>ANA KAROLINE DA SILVA</c:v>
                </c:pt>
                <c:pt idx="2">
                  <c:v>CLEITON DA SILVA ISABEL / ANA KAROLINE DA SILVA</c:v>
                </c:pt>
                <c:pt idx="3">
                  <c:v>SABRINA PAULA MARQUES FERRARINI</c:v>
                </c:pt>
                <c:pt idx="4">
                  <c:v>JOAO PEDRO BORGES LOPES / GUSTAVO VIEIRA DO NASCIMENTO</c:v>
                </c:pt>
                <c:pt idx="5">
                  <c:v>-</c:v>
                </c:pt>
              </c:strCache>
            </c:strRef>
          </c:cat>
          <c:val>
            <c:numRef>
              <c:f>DASHBOARD!$C$46:$C$51</c:f>
              <c:numCache>
                <c:formatCode>General</c:formatCode>
                <c:ptCount val="6"/>
                <c:pt idx="0">
                  <c:v>4</c:v>
                </c:pt>
                <c:pt idx="1">
                  <c:v>12</c:v>
                </c:pt>
                <c:pt idx="2">
                  <c:v>7</c:v>
                </c:pt>
                <c:pt idx="3">
                  <c:v>1</c:v>
                </c:pt>
                <c:pt idx="4">
                  <c:v>1</c:v>
                </c:pt>
                <c:pt idx="5">
                  <c:v>7</c:v>
                </c:pt>
              </c:numCache>
            </c:numRef>
          </c:val>
          <c:extLst>
            <c:ext xmlns:c16="http://schemas.microsoft.com/office/drawing/2014/chart" uri="{C3380CC4-5D6E-409C-BE32-E72D297353CC}">
              <c16:uniqueId val="{00000001-C1B2-470E-8CC6-3F81118DF835}"/>
            </c:ext>
          </c:extLst>
        </c:ser>
        <c:dLbls>
          <c:dLblPos val="outEnd"/>
          <c:showLegendKey val="0"/>
          <c:showVal val="1"/>
          <c:showCatName val="0"/>
          <c:showSerName val="0"/>
          <c:showPercent val="0"/>
          <c:showBubbleSize val="0"/>
        </c:dLbls>
        <c:gapWidth val="444"/>
        <c:overlap val="-90"/>
        <c:axId val="1308553168"/>
        <c:axId val="1308543568"/>
      </c:barChart>
      <c:catAx>
        <c:axId val="130855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crossAx val="1308543568"/>
        <c:crosses val="autoZero"/>
        <c:auto val="1"/>
        <c:lblAlgn val="ctr"/>
        <c:lblOffset val="100"/>
        <c:noMultiLvlLbl val="0"/>
      </c:catAx>
      <c:valAx>
        <c:axId val="1308543568"/>
        <c:scaling>
          <c:orientation val="minMax"/>
        </c:scaling>
        <c:delete val="1"/>
        <c:axPos val="l"/>
        <c:numFmt formatCode="General" sourceLinked="1"/>
        <c:majorTickMark val="none"/>
        <c:minorTickMark val="none"/>
        <c:tickLblPos val="nextTo"/>
        <c:crossAx val="130855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sz="2000" b="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0"/>
          <c:order val="0"/>
          <c:tx>
            <c:strRef>
              <c:f>DASHBOARD!$K$24</c:f>
              <c:strCache>
                <c:ptCount val="1"/>
                <c:pt idx="0">
                  <c:v>ADVOGADOS RECLAMANTES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4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DASHBOARD!$K$25:$N$43</c:f>
              <c:strCache>
                <c:ptCount val="19"/>
                <c:pt idx="0">
                  <c:v>GLORIA CHRIS GORDON</c:v>
                </c:pt>
                <c:pt idx="1">
                  <c:v>GUILHERME RIBEIRO VENTURIN / JACKSON FRANCISCO OLIVEIRA</c:v>
                </c:pt>
                <c:pt idx="2">
                  <c:v>CRISDAINE MICAELI SILVA FAVALESSA SOUZA </c:v>
                </c:pt>
                <c:pt idx="3">
                  <c:v>KARYNY FELIPE DA SILVA / HEMILLY GOMES GUSMAO</c:v>
                </c:pt>
                <c:pt idx="4">
                  <c:v>LAYANNE RAFAELLY MARINHO HONORATO</c:v>
                </c:pt>
                <c:pt idx="5">
                  <c:v>GENAISSON CAVALCANTE FEITOSA</c:v>
                </c:pt>
                <c:pt idx="6">
                  <c:v>ROMOALDO JOSE OLIVEIRA DA SILVA / KAYLONPATRYCK DE OLIVEIRA CARNEIRO / DANILO ALBUQUERQUE DE CARVALHO</c:v>
                </c:pt>
                <c:pt idx="7">
                  <c:v>ESMERALDA PEDROSA GOMES</c:v>
                </c:pt>
                <c:pt idx="8">
                  <c:v>EDU MARIANO DE SOUZA JUNIOR</c:v>
                </c:pt>
                <c:pt idx="9">
                  <c:v>WILLKERSON ROMEU LOPES</c:v>
                </c:pt>
                <c:pt idx="10">
                  <c:v>RUBENS AMARAL BERGAMINI / MIRELLE LETICIA GOULART DA SILVA</c:v>
                </c:pt>
                <c:pt idx="11">
                  <c:v>NEWTON CESAR DA SILVA LOPES / ANA CLÁUDIA PEREIRA DE MORAES</c:v>
                </c:pt>
                <c:pt idx="12">
                  <c:v>ANDRE RICARDO FERREIRA DE OLIVEIRA</c:v>
                </c:pt>
                <c:pt idx="13">
                  <c:v>RANDERSON CARLOS FERREIRA DE MORAES / MILENE DA SILVA LIMA SANTOS / DEBORAH COELHO BARBOSA</c:v>
                </c:pt>
                <c:pt idx="14">
                  <c:v>DEMETRIO BAGNO FERREIRA / ROBERTO CARLOS MELGAREJO DE VARGAS</c:v>
                </c:pt>
                <c:pt idx="15">
                  <c:v>MIRELLE LETICIA GOULART DA SILVA</c:v>
                </c:pt>
                <c:pt idx="16">
                  <c:v>PAULA FERREIRA AQUINO</c:v>
                </c:pt>
                <c:pt idx="17">
                  <c:v>ANA KAROLINE DA SILVA</c:v>
                </c:pt>
                <c:pt idx="18">
                  <c:v>FLAVIA OLIVEIRA LEITE</c:v>
                </c:pt>
              </c:strCache>
            </c:strRef>
          </c:cat>
          <c:val>
            <c:numRef>
              <c:f>DASHBOARD!$O$25:$O$43</c:f>
              <c:numCache>
                <c:formatCode>General</c:formatCode>
                <c:ptCount val="19"/>
                <c:pt idx="0">
                  <c:v>4</c:v>
                </c:pt>
                <c:pt idx="1">
                  <c:v>1</c:v>
                </c:pt>
                <c:pt idx="2">
                  <c:v>6</c:v>
                </c:pt>
                <c:pt idx="3">
                  <c:v>1</c:v>
                </c:pt>
                <c:pt idx="4">
                  <c:v>1</c:v>
                </c:pt>
                <c:pt idx="5">
                  <c:v>1</c:v>
                </c:pt>
                <c:pt idx="6">
                  <c:v>3</c:v>
                </c:pt>
                <c:pt idx="7">
                  <c:v>1</c:v>
                </c:pt>
                <c:pt idx="8">
                  <c:v>1</c:v>
                </c:pt>
                <c:pt idx="9">
                  <c:v>2</c:v>
                </c:pt>
                <c:pt idx="10">
                  <c:v>1</c:v>
                </c:pt>
                <c:pt idx="11">
                  <c:v>2</c:v>
                </c:pt>
                <c:pt idx="12">
                  <c:v>1</c:v>
                </c:pt>
                <c:pt idx="13">
                  <c:v>1</c:v>
                </c:pt>
                <c:pt idx="14">
                  <c:v>1</c:v>
                </c:pt>
                <c:pt idx="15">
                  <c:v>1</c:v>
                </c:pt>
                <c:pt idx="16">
                  <c:v>1</c:v>
                </c:pt>
                <c:pt idx="17">
                  <c:v>2</c:v>
                </c:pt>
                <c:pt idx="18">
                  <c:v>1</c:v>
                </c:pt>
              </c:numCache>
            </c:numRef>
          </c:val>
          <c:extLst>
            <c:ext xmlns:c16="http://schemas.microsoft.com/office/drawing/2014/chart" uri="{C3380CC4-5D6E-409C-BE32-E72D297353CC}">
              <c16:uniqueId val="{00000000-3739-439D-8696-3D5A3DB0D4B8}"/>
            </c:ext>
          </c:extLst>
        </c:ser>
        <c:dLbls>
          <c:dLblPos val="outEnd"/>
          <c:showLegendKey val="0"/>
          <c:showVal val="1"/>
          <c:showCatName val="0"/>
          <c:showSerName val="0"/>
          <c:showPercent val="0"/>
          <c:showBubbleSize val="0"/>
        </c:dLbls>
        <c:gapWidth val="444"/>
        <c:overlap val="-90"/>
        <c:axId val="1057143664"/>
        <c:axId val="1057137904"/>
      </c:barChart>
      <c:catAx>
        <c:axId val="105714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crossAx val="1057137904"/>
        <c:crosses val="autoZero"/>
        <c:auto val="1"/>
        <c:lblAlgn val="ctr"/>
        <c:lblOffset val="100"/>
        <c:noMultiLvlLbl val="0"/>
      </c:catAx>
      <c:valAx>
        <c:axId val="1057137904"/>
        <c:scaling>
          <c:orientation val="minMax"/>
        </c:scaling>
        <c:delete val="1"/>
        <c:axPos val="l"/>
        <c:numFmt formatCode="General" sourceLinked="1"/>
        <c:majorTickMark val="none"/>
        <c:minorTickMark val="none"/>
        <c:tickLblPos val="nextTo"/>
        <c:crossAx val="105714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sz="2000" b="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pieChart>
        <c:varyColors val="1"/>
        <c:ser>
          <c:idx val="0"/>
          <c:order val="0"/>
          <c:tx>
            <c:strRef>
              <c:f>DASHBOARD!$K$24</c:f>
              <c:strCache>
                <c:ptCount val="1"/>
                <c:pt idx="0">
                  <c:v>ADVOGADOS RECLAMANTES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F836-4DA6-BA99-9AD2F64E88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F836-4DA6-BA99-9AD2F64E88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7-F836-4DA6-BA99-9AD2F64E88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8-F836-4DA6-BA99-9AD2F64E88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F836-4DA6-BA99-9AD2F64E88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A-F836-4DA6-BA99-9AD2F64E88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B-F836-4DA6-BA99-9AD2F64E88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C-F836-4DA6-BA99-9AD2F64E88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D-F836-4DA6-BA99-9AD2F64E88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E-F836-4DA6-BA99-9AD2F64E88B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F-F836-4DA6-BA99-9AD2F64E88B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0-F836-4DA6-BA99-9AD2F64E88B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1-F836-4DA6-BA99-9AD2F64E88B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2-F836-4DA6-BA99-9AD2F64E88B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3-F836-4DA6-BA99-9AD2F64E88B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34-F836-4DA6-BA99-9AD2F64E88B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35-F836-4DA6-BA99-9AD2F64E88B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36-F836-4DA6-BA99-9AD2F64E88B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37-F836-4DA6-BA99-9AD2F64E88BD}"/>
              </c:ext>
            </c:extLst>
          </c:dPt>
          <c:dLbls>
            <c:delete val="1"/>
          </c:dLbls>
          <c:cat>
            <c:strRef>
              <c:f>DASHBOARD!$K$25:$N$43</c:f>
              <c:strCache>
                <c:ptCount val="19"/>
                <c:pt idx="0">
                  <c:v>GLORIA CHRIS GORDON</c:v>
                </c:pt>
                <c:pt idx="1">
                  <c:v>GUILHERME RIBEIRO VENTURIN / JACKSON FRANCISCO OLIVEIRA</c:v>
                </c:pt>
                <c:pt idx="2">
                  <c:v>CRISDAINE MICAELI SILVA FAVALESSA SOUZA </c:v>
                </c:pt>
                <c:pt idx="3">
                  <c:v>KARYNY FELIPE DA SILVA / HEMILLY GOMES GUSMAO</c:v>
                </c:pt>
                <c:pt idx="4">
                  <c:v>LAYANNE RAFAELLY MARINHO HONORATO</c:v>
                </c:pt>
                <c:pt idx="5">
                  <c:v>GENAISSON CAVALCANTE FEITOSA</c:v>
                </c:pt>
                <c:pt idx="6">
                  <c:v>ROMOALDO JOSE OLIVEIRA DA SILVA / KAYLONPATRYCK DE OLIVEIRA CARNEIRO / DANILO ALBUQUERQUE DE CARVALHO</c:v>
                </c:pt>
                <c:pt idx="7">
                  <c:v>ESMERALDA PEDROSA GOMES</c:v>
                </c:pt>
                <c:pt idx="8">
                  <c:v>EDU MARIANO DE SOUZA JUNIOR</c:v>
                </c:pt>
                <c:pt idx="9">
                  <c:v>WILLKERSON ROMEU LOPES</c:v>
                </c:pt>
                <c:pt idx="10">
                  <c:v>RUBENS AMARAL BERGAMINI / MIRELLE LETICIA GOULART DA SILVA</c:v>
                </c:pt>
                <c:pt idx="11">
                  <c:v>NEWTON CESAR DA SILVA LOPES / ANA CLÁUDIA PEREIRA DE MORAES</c:v>
                </c:pt>
                <c:pt idx="12">
                  <c:v>ANDRE RICARDO FERREIRA DE OLIVEIRA</c:v>
                </c:pt>
                <c:pt idx="13">
                  <c:v>RANDERSON CARLOS FERREIRA DE MORAES / MILENE DA SILVA LIMA SANTOS / DEBORAH COELHO BARBOSA</c:v>
                </c:pt>
                <c:pt idx="14">
                  <c:v>DEMETRIO BAGNO FERREIRA / ROBERTO CARLOS MELGAREJO DE VARGAS</c:v>
                </c:pt>
                <c:pt idx="15">
                  <c:v>MIRELLE LETICIA GOULART DA SILVA</c:v>
                </c:pt>
                <c:pt idx="16">
                  <c:v>PAULA FERREIRA AQUINO</c:v>
                </c:pt>
                <c:pt idx="17">
                  <c:v>ANA KAROLINE DA SILVA</c:v>
                </c:pt>
                <c:pt idx="18">
                  <c:v>FLAVIA OLIVEIRA LEITE</c:v>
                </c:pt>
              </c:strCache>
            </c:strRef>
          </c:cat>
          <c:val>
            <c:numRef>
              <c:f>DASHBOARD!$O$25:$O$43</c:f>
              <c:numCache>
                <c:formatCode>General</c:formatCode>
                <c:ptCount val="19"/>
                <c:pt idx="0">
                  <c:v>4</c:v>
                </c:pt>
                <c:pt idx="1">
                  <c:v>1</c:v>
                </c:pt>
                <c:pt idx="2">
                  <c:v>6</c:v>
                </c:pt>
                <c:pt idx="3">
                  <c:v>1</c:v>
                </c:pt>
                <c:pt idx="4">
                  <c:v>1</c:v>
                </c:pt>
                <c:pt idx="5">
                  <c:v>1</c:v>
                </c:pt>
                <c:pt idx="6">
                  <c:v>3</c:v>
                </c:pt>
                <c:pt idx="7">
                  <c:v>1</c:v>
                </c:pt>
                <c:pt idx="8">
                  <c:v>1</c:v>
                </c:pt>
                <c:pt idx="9">
                  <c:v>2</c:v>
                </c:pt>
                <c:pt idx="10">
                  <c:v>1</c:v>
                </c:pt>
                <c:pt idx="11">
                  <c:v>2</c:v>
                </c:pt>
                <c:pt idx="12">
                  <c:v>1</c:v>
                </c:pt>
                <c:pt idx="13">
                  <c:v>1</c:v>
                </c:pt>
                <c:pt idx="14">
                  <c:v>1</c:v>
                </c:pt>
                <c:pt idx="15">
                  <c:v>1</c:v>
                </c:pt>
                <c:pt idx="16">
                  <c:v>1</c:v>
                </c:pt>
                <c:pt idx="17">
                  <c:v>2</c:v>
                </c:pt>
                <c:pt idx="18">
                  <c:v>1</c:v>
                </c:pt>
              </c:numCache>
            </c:numRef>
          </c:val>
          <c:extLst>
            <c:ext xmlns:c16="http://schemas.microsoft.com/office/drawing/2014/chart" uri="{C3380CC4-5D6E-409C-BE32-E72D297353CC}">
              <c16:uniqueId val="{00000024-F836-4DA6-BA99-9AD2F64E88BD}"/>
            </c:ext>
          </c:extLst>
        </c:ser>
        <c:dLbls>
          <c:showLegendKey val="0"/>
          <c:showVal val="0"/>
          <c:showCatName val="1"/>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2000">
          <a:latin typeface="Calibri" panose="020F0502020204030204" pitchFamily="34" charset="0"/>
          <a:ea typeface="Calibri" panose="020F0502020204030204" pitchFamily="34" charset="0"/>
          <a:cs typeface="Calibri" panose="020F0502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5</xdr:row>
      <xdr:rowOff>9524</xdr:rowOff>
    </xdr:from>
    <xdr:to>
      <xdr:col>6</xdr:col>
      <xdr:colOff>-1</xdr:colOff>
      <xdr:row>19</xdr:row>
      <xdr:rowOff>857248</xdr:rowOff>
    </xdr:to>
    <xdr:graphicFrame macro="">
      <xdr:nvGraphicFramePr>
        <xdr:cNvPr id="2" name="Gráfico 1">
          <a:extLst>
            <a:ext uri="{FF2B5EF4-FFF2-40B4-BE49-F238E27FC236}">
              <a16:creationId xmlns:a16="http://schemas.microsoft.com/office/drawing/2014/main" id="{70CEDB58-A23E-0FB3-B51A-0F13F140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xdr:colOff>
      <xdr:row>3</xdr:row>
      <xdr:rowOff>881060</xdr:rowOff>
    </xdr:from>
    <xdr:to>
      <xdr:col>16</xdr:col>
      <xdr:colOff>23812</xdr:colOff>
      <xdr:row>19</xdr:row>
      <xdr:rowOff>857249</xdr:rowOff>
    </xdr:to>
    <xdr:graphicFrame macro="">
      <xdr:nvGraphicFramePr>
        <xdr:cNvPr id="3" name="Gráfico 2">
          <a:extLst>
            <a:ext uri="{FF2B5EF4-FFF2-40B4-BE49-F238E27FC236}">
              <a16:creationId xmlns:a16="http://schemas.microsoft.com/office/drawing/2014/main" id="{330AE16B-ECF3-AF29-D400-DCD6F80AC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4</xdr:row>
      <xdr:rowOff>9525</xdr:rowOff>
    </xdr:from>
    <xdr:to>
      <xdr:col>24</xdr:col>
      <xdr:colOff>-1</xdr:colOff>
      <xdr:row>19</xdr:row>
      <xdr:rowOff>857249</xdr:rowOff>
    </xdr:to>
    <xdr:graphicFrame macro="">
      <xdr:nvGraphicFramePr>
        <xdr:cNvPr id="4" name="Gráfico 3">
          <a:extLst>
            <a:ext uri="{FF2B5EF4-FFF2-40B4-BE49-F238E27FC236}">
              <a16:creationId xmlns:a16="http://schemas.microsoft.com/office/drawing/2014/main" id="{8D882E5D-DAF3-957E-3146-0FFADCBD9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3760210</xdr:colOff>
      <xdr:row>23</xdr:row>
      <xdr:rowOff>1729</xdr:rowOff>
    </xdr:from>
    <xdr:to>
      <xdr:col>9</xdr:col>
      <xdr:colOff>0</xdr:colOff>
      <xdr:row>31</xdr:row>
      <xdr:rowOff>34636</xdr:rowOff>
    </xdr:to>
    <xdr:graphicFrame macro="">
      <xdr:nvGraphicFramePr>
        <xdr:cNvPr id="5" name="Gráfico 4">
          <a:extLst>
            <a:ext uri="{FF2B5EF4-FFF2-40B4-BE49-F238E27FC236}">
              <a16:creationId xmlns:a16="http://schemas.microsoft.com/office/drawing/2014/main" id="{FF74FAB3-6239-CE25-A86E-7455DE00F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33</xdr:row>
      <xdr:rowOff>9525</xdr:rowOff>
    </xdr:from>
    <xdr:to>
      <xdr:col>9</xdr:col>
      <xdr:colOff>0</xdr:colOff>
      <xdr:row>40</xdr:row>
      <xdr:rowOff>857250</xdr:rowOff>
    </xdr:to>
    <xdr:graphicFrame macro="">
      <xdr:nvGraphicFramePr>
        <xdr:cNvPr id="6" name="Gráfico 5">
          <a:extLst>
            <a:ext uri="{FF2B5EF4-FFF2-40B4-BE49-F238E27FC236}">
              <a16:creationId xmlns:a16="http://schemas.microsoft.com/office/drawing/2014/main" id="{2A18F7E9-F8EC-A7CC-DA13-FA5DE8648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23812</xdr:colOff>
      <xdr:row>44</xdr:row>
      <xdr:rowOff>33337</xdr:rowOff>
    </xdr:from>
    <xdr:to>
      <xdr:col>8</xdr:col>
      <xdr:colOff>3738561</xdr:colOff>
      <xdr:row>51</xdr:row>
      <xdr:rowOff>-1</xdr:rowOff>
    </xdr:to>
    <xdr:graphicFrame macro="">
      <xdr:nvGraphicFramePr>
        <xdr:cNvPr id="7" name="Gráfico 6">
          <a:extLst>
            <a:ext uri="{FF2B5EF4-FFF2-40B4-BE49-F238E27FC236}">
              <a16:creationId xmlns:a16="http://schemas.microsoft.com/office/drawing/2014/main" id="{60C3A473-90DC-0C2E-1338-B0909B27F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33337</xdr:colOff>
      <xdr:row>44</xdr:row>
      <xdr:rowOff>23811</xdr:rowOff>
    </xdr:from>
    <xdr:to>
      <xdr:col>21</xdr:col>
      <xdr:colOff>1904999</xdr:colOff>
      <xdr:row>56</xdr:row>
      <xdr:rowOff>0</xdr:rowOff>
    </xdr:to>
    <xdr:graphicFrame macro="">
      <xdr:nvGraphicFramePr>
        <xdr:cNvPr id="8" name="Gráfico 7">
          <a:extLst>
            <a:ext uri="{FF2B5EF4-FFF2-40B4-BE49-F238E27FC236}">
              <a16:creationId xmlns:a16="http://schemas.microsoft.com/office/drawing/2014/main" id="{78FABA6C-C9C3-A973-EAE0-37065AAD0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33336</xdr:colOff>
      <xdr:row>22</xdr:row>
      <xdr:rowOff>857248</xdr:rowOff>
    </xdr:from>
    <xdr:to>
      <xdr:col>21</xdr:col>
      <xdr:colOff>1904998</xdr:colOff>
      <xdr:row>43</xdr:row>
      <xdr:rowOff>0</xdr:rowOff>
    </xdr:to>
    <xdr:graphicFrame macro="">
      <xdr:nvGraphicFramePr>
        <xdr:cNvPr id="9" name="Gráfico 8">
          <a:extLst>
            <a:ext uri="{FF2B5EF4-FFF2-40B4-BE49-F238E27FC236}">
              <a16:creationId xmlns:a16="http://schemas.microsoft.com/office/drawing/2014/main" id="{855FACFC-4196-5BDD-77A1-1B5074CFF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10EC-1C14-494A-A633-E15C4D12B182}">
  <sheetPr>
    <tabColor theme="4" tint="-0.249977111117893"/>
  </sheetPr>
  <dimension ref="A1:U34"/>
  <sheetViews>
    <sheetView showGridLines="0" zoomScale="40" zoomScaleNormal="40" workbookViewId="0">
      <pane xSplit="1" ySplit="2" topLeftCell="K3" activePane="bottomRight" state="frozen"/>
      <selection pane="topRight" activeCell="B1" sqref="B1"/>
      <selection pane="bottomLeft" activeCell="A3" sqref="A3"/>
      <selection pane="bottomRight" sqref="A1:U1"/>
    </sheetView>
  </sheetViews>
  <sheetFormatPr defaultColWidth="0" defaultRowHeight="54.95" customHeight="1" x14ac:dyDescent="0.25"/>
  <cols>
    <col min="1" max="1" width="74" style="1" customWidth="1"/>
    <col min="2" max="2" width="42.140625" style="1" customWidth="1"/>
    <col min="3" max="3" width="51.140625" style="1" customWidth="1"/>
    <col min="4" max="4" width="108.7109375" style="1" customWidth="1"/>
    <col min="5" max="5" width="111.5703125" style="1" customWidth="1"/>
    <col min="6" max="6" width="74" style="1" customWidth="1"/>
    <col min="7" max="7" width="142.140625" style="1" customWidth="1"/>
    <col min="8" max="8" width="213.28515625" style="1" customWidth="1"/>
    <col min="9" max="9" width="57.85546875" style="1" customWidth="1"/>
    <col min="10" max="10" width="255.85546875" style="1" customWidth="1"/>
    <col min="11" max="11" width="58.28515625" style="1" customWidth="1"/>
    <col min="12" max="12" width="74" style="1" customWidth="1"/>
    <col min="13" max="13" width="139.7109375" style="1" customWidth="1"/>
    <col min="14" max="16" width="74" style="1" customWidth="1"/>
    <col min="17" max="17" width="50.28515625" style="1" customWidth="1"/>
    <col min="18" max="18" width="56" style="1" customWidth="1"/>
    <col min="19" max="19" width="58.85546875" style="1" customWidth="1"/>
    <col min="20" max="20" width="60" style="1" customWidth="1"/>
    <col min="21" max="21" width="93.42578125" style="1" customWidth="1"/>
    <col min="22" max="16384" width="74" style="1" hidden="1"/>
  </cols>
  <sheetData>
    <row r="1" spans="1:21" ht="120" customHeight="1" x14ac:dyDescent="0.25">
      <c r="A1" s="11" t="s">
        <v>196</v>
      </c>
      <c r="B1" s="11"/>
      <c r="C1" s="11"/>
      <c r="D1" s="11"/>
      <c r="E1" s="11"/>
      <c r="F1" s="11"/>
      <c r="G1" s="11"/>
      <c r="H1" s="11"/>
      <c r="I1" s="11"/>
      <c r="J1" s="11"/>
      <c r="K1" s="11"/>
      <c r="L1" s="11"/>
      <c r="M1" s="11"/>
      <c r="N1" s="11"/>
      <c r="O1" s="11"/>
      <c r="P1" s="11"/>
      <c r="Q1" s="11"/>
      <c r="R1" s="11"/>
      <c r="S1" s="11"/>
      <c r="T1" s="11"/>
      <c r="U1" s="11"/>
    </row>
    <row r="2" spans="1:21" s="36" customFormat="1" ht="69.95" customHeight="1" x14ac:dyDescent="0.4">
      <c r="A2" s="35" t="s">
        <v>195</v>
      </c>
      <c r="B2" s="35" t="s">
        <v>194</v>
      </c>
      <c r="C2" s="35" t="s">
        <v>193</v>
      </c>
      <c r="D2" s="35" t="s">
        <v>192</v>
      </c>
      <c r="E2" s="35" t="s">
        <v>191</v>
      </c>
      <c r="F2" s="35" t="s">
        <v>190</v>
      </c>
      <c r="G2" s="35" t="s">
        <v>189</v>
      </c>
      <c r="H2" s="35" t="s">
        <v>188</v>
      </c>
      <c r="I2" s="35" t="s">
        <v>187</v>
      </c>
      <c r="J2" s="35" t="s">
        <v>186</v>
      </c>
      <c r="K2" s="35" t="s">
        <v>185</v>
      </c>
      <c r="L2" s="35" t="s">
        <v>184</v>
      </c>
      <c r="M2" s="35" t="s">
        <v>183</v>
      </c>
      <c r="N2" s="35" t="s">
        <v>182</v>
      </c>
      <c r="O2" s="35" t="s">
        <v>181</v>
      </c>
      <c r="P2" s="35" t="s">
        <v>180</v>
      </c>
      <c r="Q2" s="35" t="s">
        <v>179</v>
      </c>
      <c r="R2" s="35" t="s">
        <v>178</v>
      </c>
      <c r="S2" s="35" t="s">
        <v>177</v>
      </c>
      <c r="T2" s="35" t="s">
        <v>176</v>
      </c>
      <c r="U2" s="35" t="s">
        <v>175</v>
      </c>
    </row>
    <row r="3" spans="1:21" s="36" customFormat="1" ht="69.95" customHeight="1" x14ac:dyDescent="0.4">
      <c r="A3" s="37" t="s">
        <v>174</v>
      </c>
      <c r="B3" s="38">
        <v>45978</v>
      </c>
      <c r="C3" s="39" t="s">
        <v>140</v>
      </c>
      <c r="D3" s="29" t="s">
        <v>165</v>
      </c>
      <c r="E3" s="29" t="s">
        <v>171</v>
      </c>
      <c r="F3" s="29" t="s">
        <v>7</v>
      </c>
      <c r="G3" s="29" t="s">
        <v>111</v>
      </c>
      <c r="H3" s="29" t="s">
        <v>163</v>
      </c>
      <c r="I3" s="40">
        <v>184210.01</v>
      </c>
      <c r="J3" s="29" t="s">
        <v>173</v>
      </c>
      <c r="K3" s="37" t="s">
        <v>108</v>
      </c>
      <c r="L3" s="41">
        <v>46078</v>
      </c>
      <c r="M3" s="37" t="s">
        <v>21</v>
      </c>
      <c r="N3" s="42" t="s">
        <v>0</v>
      </c>
      <c r="O3" s="40">
        <v>236514.06</v>
      </c>
      <c r="P3" s="42" t="s">
        <v>1</v>
      </c>
      <c r="Q3" s="40" t="s">
        <v>0</v>
      </c>
      <c r="R3" s="40" t="s">
        <v>0</v>
      </c>
      <c r="S3" s="40">
        <v>236514.06</v>
      </c>
      <c r="T3" s="43">
        <f>I3-S3</f>
        <v>-52304.049999999988</v>
      </c>
      <c r="U3" s="39" t="s">
        <v>0</v>
      </c>
    </row>
    <row r="4" spans="1:21" s="36" customFormat="1" ht="69.95" customHeight="1" x14ac:dyDescent="0.4">
      <c r="A4" s="37" t="s">
        <v>172</v>
      </c>
      <c r="B4" s="38">
        <v>45978</v>
      </c>
      <c r="C4" s="39" t="s">
        <v>140</v>
      </c>
      <c r="D4" s="29" t="s">
        <v>160</v>
      </c>
      <c r="E4" s="29" t="s">
        <v>171</v>
      </c>
      <c r="F4" s="29" t="s">
        <v>7</v>
      </c>
      <c r="G4" s="29" t="s">
        <v>16</v>
      </c>
      <c r="H4" s="29" t="s">
        <v>163</v>
      </c>
      <c r="I4" s="40">
        <v>14536.37</v>
      </c>
      <c r="J4" s="29" t="s">
        <v>170</v>
      </c>
      <c r="K4" s="37" t="s">
        <v>14</v>
      </c>
      <c r="L4" s="41" t="s">
        <v>0</v>
      </c>
      <c r="M4" s="37" t="s">
        <v>3</v>
      </c>
      <c r="N4" s="42" t="s">
        <v>169</v>
      </c>
      <c r="O4" s="40" t="s">
        <v>3</v>
      </c>
      <c r="P4" s="42" t="s">
        <v>1</v>
      </c>
      <c r="Q4" s="40" t="s">
        <v>0</v>
      </c>
      <c r="R4" s="40" t="s">
        <v>0</v>
      </c>
      <c r="S4" s="40" t="s">
        <v>0</v>
      </c>
      <c r="T4" s="42" t="s">
        <v>0</v>
      </c>
      <c r="U4" s="39" t="s">
        <v>0</v>
      </c>
    </row>
    <row r="5" spans="1:21" s="36" customFormat="1" ht="69.95" customHeight="1" x14ac:dyDescent="0.4">
      <c r="A5" s="37" t="s">
        <v>168</v>
      </c>
      <c r="B5" s="38">
        <v>45945</v>
      </c>
      <c r="C5" s="39" t="s">
        <v>140</v>
      </c>
      <c r="D5" s="29" t="s">
        <v>145</v>
      </c>
      <c r="E5" s="29" t="s">
        <v>164</v>
      </c>
      <c r="F5" s="29" t="s">
        <v>7</v>
      </c>
      <c r="G5" s="29" t="s">
        <v>16</v>
      </c>
      <c r="H5" s="29" t="s">
        <v>163</v>
      </c>
      <c r="I5" s="40">
        <v>5525.52</v>
      </c>
      <c r="J5" s="29" t="s">
        <v>167</v>
      </c>
      <c r="K5" s="37" t="s">
        <v>14</v>
      </c>
      <c r="L5" s="41" t="s">
        <v>0</v>
      </c>
      <c r="M5" s="37" t="s">
        <v>21</v>
      </c>
      <c r="N5" s="42" t="s">
        <v>0</v>
      </c>
      <c r="O5" s="40" t="s">
        <v>21</v>
      </c>
      <c r="P5" s="42" t="s">
        <v>1</v>
      </c>
      <c r="Q5" s="40" t="s">
        <v>0</v>
      </c>
      <c r="R5" s="40" t="s">
        <v>0</v>
      </c>
      <c r="S5" s="40" t="s">
        <v>0</v>
      </c>
      <c r="T5" s="42" t="s">
        <v>0</v>
      </c>
      <c r="U5" s="39" t="s">
        <v>0</v>
      </c>
    </row>
    <row r="6" spans="1:21" s="36" customFormat="1" ht="69.95" customHeight="1" x14ac:dyDescent="0.4">
      <c r="A6" s="37" t="s">
        <v>166</v>
      </c>
      <c r="B6" s="38">
        <v>45947</v>
      </c>
      <c r="C6" s="39" t="s">
        <v>140</v>
      </c>
      <c r="D6" s="29" t="s">
        <v>165</v>
      </c>
      <c r="E6" s="29" t="s">
        <v>164</v>
      </c>
      <c r="F6" s="29" t="s">
        <v>7</v>
      </c>
      <c r="G6" s="29" t="s">
        <v>111</v>
      </c>
      <c r="H6" s="29" t="s">
        <v>163</v>
      </c>
      <c r="I6" s="40">
        <v>148402.04999999999</v>
      </c>
      <c r="J6" s="29" t="s">
        <v>162</v>
      </c>
      <c r="K6" s="37" t="s">
        <v>108</v>
      </c>
      <c r="L6" s="41">
        <v>46052</v>
      </c>
      <c r="M6" s="37" t="s">
        <v>21</v>
      </c>
      <c r="N6" s="42" t="s">
        <v>0</v>
      </c>
      <c r="O6" s="40">
        <v>317.17</v>
      </c>
      <c r="P6" s="42" t="s">
        <v>1</v>
      </c>
      <c r="Q6" s="40" t="s">
        <v>0</v>
      </c>
      <c r="R6" s="40" t="s">
        <v>0</v>
      </c>
      <c r="S6" s="40">
        <v>317.17</v>
      </c>
      <c r="T6" s="43">
        <f>I6-S6</f>
        <v>148084.87999999998</v>
      </c>
      <c r="U6" s="39" t="s">
        <v>0</v>
      </c>
    </row>
    <row r="7" spans="1:21" s="36" customFormat="1" ht="69.95" customHeight="1" x14ac:dyDescent="0.4">
      <c r="A7" s="37" t="s">
        <v>161</v>
      </c>
      <c r="B7" s="38">
        <v>45994</v>
      </c>
      <c r="C7" s="39" t="s">
        <v>140</v>
      </c>
      <c r="D7" s="29" t="s">
        <v>160</v>
      </c>
      <c r="E7" s="29" t="s">
        <v>159</v>
      </c>
      <c r="F7" s="29" t="s">
        <v>7</v>
      </c>
      <c r="G7" s="29" t="s">
        <v>111</v>
      </c>
      <c r="H7" s="29" t="s">
        <v>158</v>
      </c>
      <c r="I7" s="40">
        <v>57652.63</v>
      </c>
      <c r="J7" s="29" t="s">
        <v>157</v>
      </c>
      <c r="K7" s="37" t="s">
        <v>108</v>
      </c>
      <c r="L7" s="41">
        <v>46149</v>
      </c>
      <c r="M7" s="37" t="s">
        <v>21</v>
      </c>
      <c r="N7" s="42" t="s">
        <v>0</v>
      </c>
      <c r="O7" s="40" t="s">
        <v>156</v>
      </c>
      <c r="P7" s="42" t="s">
        <v>1</v>
      </c>
      <c r="Q7" s="40" t="s">
        <v>0</v>
      </c>
      <c r="R7" s="40" t="s">
        <v>0</v>
      </c>
      <c r="S7" s="40" t="s">
        <v>156</v>
      </c>
      <c r="T7" s="43">
        <f>I7</f>
        <v>57652.63</v>
      </c>
      <c r="U7" s="39" t="s">
        <v>0</v>
      </c>
    </row>
    <row r="8" spans="1:21" s="36" customFormat="1" ht="69.95" customHeight="1" x14ac:dyDescent="0.4">
      <c r="A8" s="37" t="s">
        <v>155</v>
      </c>
      <c r="B8" s="38">
        <v>46015</v>
      </c>
      <c r="C8" s="39" t="s">
        <v>140</v>
      </c>
      <c r="D8" s="29" t="s">
        <v>145</v>
      </c>
      <c r="E8" s="29" t="s">
        <v>154</v>
      </c>
      <c r="F8" s="29" t="s">
        <v>7</v>
      </c>
      <c r="G8" s="29" t="s">
        <v>16</v>
      </c>
      <c r="H8" s="29" t="s">
        <v>6</v>
      </c>
      <c r="I8" s="40">
        <v>186643.84</v>
      </c>
      <c r="J8" s="29" t="s">
        <v>153</v>
      </c>
      <c r="K8" s="37" t="s">
        <v>123</v>
      </c>
      <c r="L8" s="59">
        <v>46078</v>
      </c>
      <c r="M8" s="37" t="s">
        <v>152</v>
      </c>
      <c r="N8" s="42" t="s">
        <v>0</v>
      </c>
      <c r="O8" s="40">
        <v>254939.65</v>
      </c>
      <c r="P8" s="42" t="s">
        <v>1</v>
      </c>
      <c r="Q8" s="40" t="s">
        <v>0</v>
      </c>
      <c r="R8" s="40" t="s">
        <v>0</v>
      </c>
      <c r="S8" s="40">
        <v>172380</v>
      </c>
      <c r="T8" s="43">
        <f>I8-S8</f>
        <v>14263.839999999997</v>
      </c>
      <c r="U8" s="39" t="s">
        <v>0</v>
      </c>
    </row>
    <row r="9" spans="1:21" s="36" customFormat="1" ht="114.75" customHeight="1" x14ac:dyDescent="0.4">
      <c r="A9" s="37" t="s">
        <v>151</v>
      </c>
      <c r="B9" s="38">
        <v>46059</v>
      </c>
      <c r="C9" s="39" t="s">
        <v>140</v>
      </c>
      <c r="D9" s="29" t="s">
        <v>150</v>
      </c>
      <c r="E9" s="29" t="s">
        <v>149</v>
      </c>
      <c r="F9" s="29" t="s">
        <v>7</v>
      </c>
      <c r="G9" s="29" t="s">
        <v>51</v>
      </c>
      <c r="H9" s="29" t="s">
        <v>6</v>
      </c>
      <c r="I9" s="40">
        <v>152125.64000000001</v>
      </c>
      <c r="J9" s="29" t="s">
        <v>148</v>
      </c>
      <c r="K9" s="37" t="s">
        <v>14</v>
      </c>
      <c r="L9" s="41" t="s">
        <v>0</v>
      </c>
      <c r="M9" s="37" t="s">
        <v>3</v>
      </c>
      <c r="N9" s="42" t="s">
        <v>147</v>
      </c>
      <c r="O9" s="40" t="s">
        <v>0</v>
      </c>
      <c r="P9" s="42" t="s">
        <v>1</v>
      </c>
      <c r="Q9" s="40" t="s">
        <v>0</v>
      </c>
      <c r="R9" s="40" t="s">
        <v>0</v>
      </c>
      <c r="S9" s="40" t="s">
        <v>0</v>
      </c>
      <c r="T9" s="42" t="s">
        <v>0</v>
      </c>
      <c r="U9" s="39" t="s">
        <v>0</v>
      </c>
    </row>
    <row r="10" spans="1:21" s="36" customFormat="1" ht="69.95" customHeight="1" x14ac:dyDescent="0.4">
      <c r="A10" s="37" t="s">
        <v>146</v>
      </c>
      <c r="B10" s="38">
        <v>46015</v>
      </c>
      <c r="C10" s="39" t="s">
        <v>140</v>
      </c>
      <c r="D10" s="29" t="s">
        <v>145</v>
      </c>
      <c r="E10" s="29" t="s">
        <v>144</v>
      </c>
      <c r="F10" s="29" t="s">
        <v>7</v>
      </c>
      <c r="G10" s="29" t="s">
        <v>16</v>
      </c>
      <c r="H10" s="29" t="s">
        <v>6</v>
      </c>
      <c r="I10" s="40">
        <v>547436</v>
      </c>
      <c r="J10" s="29" t="s">
        <v>143</v>
      </c>
      <c r="K10" s="37" t="s">
        <v>123</v>
      </c>
      <c r="L10" s="41">
        <v>46059</v>
      </c>
      <c r="M10" s="37" t="s">
        <v>142</v>
      </c>
      <c r="N10" s="42" t="s">
        <v>0</v>
      </c>
      <c r="O10" s="40">
        <v>324657.42</v>
      </c>
      <c r="P10" s="42" t="s">
        <v>1</v>
      </c>
      <c r="Q10" s="40" t="s">
        <v>12</v>
      </c>
      <c r="R10" s="44">
        <v>210000</v>
      </c>
      <c r="S10" s="40">
        <v>214200</v>
      </c>
      <c r="T10" s="43">
        <f>I10-S10</f>
        <v>333236</v>
      </c>
      <c r="U10" s="39" t="s">
        <v>0</v>
      </c>
    </row>
    <row r="11" spans="1:21" s="36" customFormat="1" ht="69.95" customHeight="1" x14ac:dyDescent="0.4">
      <c r="A11" s="37" t="s">
        <v>141</v>
      </c>
      <c r="B11" s="38">
        <v>46118</v>
      </c>
      <c r="C11" s="39" t="s">
        <v>140</v>
      </c>
      <c r="D11" s="29" t="s">
        <v>139</v>
      </c>
      <c r="E11" s="29" t="s">
        <v>138</v>
      </c>
      <c r="F11" s="29" t="s">
        <v>7</v>
      </c>
      <c r="G11" s="29" t="s">
        <v>51</v>
      </c>
      <c r="H11" s="29" t="s">
        <v>6</v>
      </c>
      <c r="I11" s="40">
        <v>141443.19</v>
      </c>
      <c r="J11" s="29" t="s">
        <v>137</v>
      </c>
      <c r="K11" s="37" t="s">
        <v>108</v>
      </c>
      <c r="L11" s="41">
        <v>46185</v>
      </c>
      <c r="M11" s="37" t="s">
        <v>136</v>
      </c>
      <c r="N11" s="42" t="s">
        <v>0</v>
      </c>
      <c r="O11" s="40" t="s">
        <v>0</v>
      </c>
      <c r="P11" s="42" t="s">
        <v>1</v>
      </c>
      <c r="Q11" s="40" t="s">
        <v>0</v>
      </c>
      <c r="R11" s="40" t="s">
        <v>0</v>
      </c>
      <c r="S11" s="40" t="s">
        <v>0</v>
      </c>
      <c r="T11" s="42" t="s">
        <v>0</v>
      </c>
      <c r="U11" s="39" t="s">
        <v>0</v>
      </c>
    </row>
    <row r="12" spans="1:21" s="36" customFormat="1" ht="69.95" customHeight="1" x14ac:dyDescent="0.4">
      <c r="A12" s="37" t="s">
        <v>135</v>
      </c>
      <c r="B12" s="38">
        <v>46160</v>
      </c>
      <c r="C12" s="39" t="s">
        <v>134</v>
      </c>
      <c r="D12" s="29" t="s">
        <v>133</v>
      </c>
      <c r="E12" s="29" t="s">
        <v>132</v>
      </c>
      <c r="F12" s="29" t="s">
        <v>7</v>
      </c>
      <c r="G12" s="29" t="s">
        <v>16</v>
      </c>
      <c r="H12" s="29" t="s">
        <v>131</v>
      </c>
      <c r="I12" s="40">
        <v>69756.399999999994</v>
      </c>
      <c r="J12" s="29" t="s">
        <v>99</v>
      </c>
      <c r="K12" s="37" t="s">
        <v>14</v>
      </c>
      <c r="L12" s="41" t="s">
        <v>0</v>
      </c>
      <c r="M12" s="37" t="s">
        <v>3</v>
      </c>
      <c r="N12" s="42" t="s">
        <v>130</v>
      </c>
      <c r="O12" s="40" t="s">
        <v>0</v>
      </c>
      <c r="P12" s="42" t="s">
        <v>1</v>
      </c>
      <c r="Q12" s="40" t="s">
        <v>0</v>
      </c>
      <c r="R12" s="40" t="s">
        <v>0</v>
      </c>
      <c r="S12" s="40" t="s">
        <v>0</v>
      </c>
      <c r="T12" s="42" t="s">
        <v>0</v>
      </c>
      <c r="U12" s="39" t="s">
        <v>0</v>
      </c>
    </row>
    <row r="13" spans="1:21" s="36" customFormat="1" ht="69.95" customHeight="1" x14ac:dyDescent="0.4">
      <c r="A13" s="37" t="s">
        <v>129</v>
      </c>
      <c r="B13" s="38">
        <v>46123</v>
      </c>
      <c r="C13" s="39" t="s">
        <v>128</v>
      </c>
      <c r="D13" s="29" t="s">
        <v>127</v>
      </c>
      <c r="E13" s="29" t="s">
        <v>126</v>
      </c>
      <c r="F13" s="29" t="s">
        <v>7</v>
      </c>
      <c r="G13" s="29" t="s">
        <v>16</v>
      </c>
      <c r="H13" s="29" t="s">
        <v>125</v>
      </c>
      <c r="I13" s="40">
        <v>27396.89</v>
      </c>
      <c r="J13" s="29" t="s">
        <v>124</v>
      </c>
      <c r="K13" s="37" t="s">
        <v>123</v>
      </c>
      <c r="L13" s="41" t="s">
        <v>0</v>
      </c>
      <c r="M13" s="37" t="s">
        <v>122</v>
      </c>
      <c r="N13" s="42" t="s">
        <v>0</v>
      </c>
      <c r="O13" s="40" t="s">
        <v>0</v>
      </c>
      <c r="P13" s="42" t="s">
        <v>1</v>
      </c>
      <c r="Q13" s="42" t="s">
        <v>12</v>
      </c>
      <c r="R13" s="40">
        <v>5000</v>
      </c>
      <c r="S13" s="40">
        <v>6340</v>
      </c>
      <c r="T13" s="43">
        <f>I13-S13</f>
        <v>21056.89</v>
      </c>
      <c r="U13" s="39" t="s">
        <v>0</v>
      </c>
    </row>
    <row r="14" spans="1:21" s="36" customFormat="1" ht="69.95" customHeight="1" x14ac:dyDescent="0.4">
      <c r="A14" s="37" t="s">
        <v>121</v>
      </c>
      <c r="B14" s="38">
        <v>46097</v>
      </c>
      <c r="C14" s="39" t="s">
        <v>73</v>
      </c>
      <c r="D14" s="29" t="s">
        <v>120</v>
      </c>
      <c r="E14" s="29" t="s">
        <v>119</v>
      </c>
      <c r="F14" s="29" t="s">
        <v>7</v>
      </c>
      <c r="G14" s="29" t="s">
        <v>16</v>
      </c>
      <c r="H14" s="29" t="s">
        <v>118</v>
      </c>
      <c r="I14" s="40">
        <v>127781.19</v>
      </c>
      <c r="J14" s="29" t="s">
        <v>117</v>
      </c>
      <c r="K14" s="37" t="s">
        <v>116</v>
      </c>
      <c r="L14" s="41">
        <v>46255</v>
      </c>
      <c r="M14" s="37" t="s">
        <v>115</v>
      </c>
      <c r="N14" s="42" t="s">
        <v>0</v>
      </c>
      <c r="O14" s="40" t="s">
        <v>0</v>
      </c>
      <c r="P14" s="42" t="s">
        <v>1</v>
      </c>
      <c r="Q14" s="40" t="s">
        <v>0</v>
      </c>
      <c r="R14" s="40" t="s">
        <v>0</v>
      </c>
      <c r="S14" s="40" t="s">
        <v>0</v>
      </c>
      <c r="T14" s="42" t="s">
        <v>0</v>
      </c>
      <c r="U14" s="39" t="s">
        <v>0</v>
      </c>
    </row>
    <row r="15" spans="1:21" s="36" customFormat="1" ht="69.95" customHeight="1" x14ac:dyDescent="0.4">
      <c r="A15" s="37" t="s">
        <v>114</v>
      </c>
      <c r="B15" s="38">
        <v>45890</v>
      </c>
      <c r="C15" s="39" t="s">
        <v>73</v>
      </c>
      <c r="D15" s="29" t="s">
        <v>113</v>
      </c>
      <c r="E15" s="29" t="s">
        <v>112</v>
      </c>
      <c r="F15" s="29" t="s">
        <v>7</v>
      </c>
      <c r="G15" s="29" t="s">
        <v>111</v>
      </c>
      <c r="H15" s="29" t="s">
        <v>83</v>
      </c>
      <c r="I15" s="40">
        <v>119237.63</v>
      </c>
      <c r="J15" s="29" t="s">
        <v>110</v>
      </c>
      <c r="K15" s="37" t="s">
        <v>108</v>
      </c>
      <c r="L15" s="41">
        <v>46058</v>
      </c>
      <c r="M15" s="37" t="s">
        <v>109</v>
      </c>
      <c r="N15" s="42" t="s">
        <v>0</v>
      </c>
      <c r="O15" s="40" t="s">
        <v>0</v>
      </c>
      <c r="P15" s="42" t="s">
        <v>108</v>
      </c>
      <c r="Q15" s="40" t="s">
        <v>0</v>
      </c>
      <c r="R15" s="40" t="s">
        <v>0</v>
      </c>
      <c r="S15" s="40" t="s">
        <v>0</v>
      </c>
      <c r="T15" s="42" t="s">
        <v>0</v>
      </c>
      <c r="U15" s="39" t="s">
        <v>0</v>
      </c>
    </row>
    <row r="16" spans="1:21" s="36" customFormat="1" ht="69.95" customHeight="1" x14ac:dyDescent="0.4">
      <c r="A16" s="37" t="s">
        <v>107</v>
      </c>
      <c r="B16" s="38">
        <v>46064</v>
      </c>
      <c r="C16" s="39" t="s">
        <v>73</v>
      </c>
      <c r="D16" s="29" t="s">
        <v>85</v>
      </c>
      <c r="E16" s="29" t="s">
        <v>106</v>
      </c>
      <c r="F16" s="29" t="s">
        <v>7</v>
      </c>
      <c r="G16" s="29" t="s">
        <v>51</v>
      </c>
      <c r="H16" s="29" t="s">
        <v>83</v>
      </c>
      <c r="I16" s="40">
        <v>986655.72</v>
      </c>
      <c r="J16" s="29" t="s">
        <v>105</v>
      </c>
      <c r="K16" s="37" t="s">
        <v>14</v>
      </c>
      <c r="L16" s="41" t="s">
        <v>0</v>
      </c>
      <c r="M16" s="37" t="s">
        <v>3</v>
      </c>
      <c r="N16" s="42" t="s">
        <v>104</v>
      </c>
      <c r="O16" s="40" t="s">
        <v>0</v>
      </c>
      <c r="P16" s="42" t="s">
        <v>1</v>
      </c>
      <c r="Q16" s="40" t="s">
        <v>0</v>
      </c>
      <c r="R16" s="40" t="s">
        <v>0</v>
      </c>
      <c r="S16" s="40" t="s">
        <v>0</v>
      </c>
      <c r="T16" s="42" t="s">
        <v>0</v>
      </c>
      <c r="U16" s="39" t="s">
        <v>0</v>
      </c>
    </row>
    <row r="17" spans="1:21" s="36" customFormat="1" ht="69.95" customHeight="1" x14ac:dyDescent="0.4">
      <c r="A17" s="37" t="s">
        <v>103</v>
      </c>
      <c r="B17" s="38">
        <v>46044</v>
      </c>
      <c r="C17" s="39" t="s">
        <v>73</v>
      </c>
      <c r="D17" s="29" t="s">
        <v>102</v>
      </c>
      <c r="E17" s="29" t="s">
        <v>101</v>
      </c>
      <c r="F17" s="29" t="s">
        <v>7</v>
      </c>
      <c r="G17" s="29" t="s">
        <v>51</v>
      </c>
      <c r="H17" s="29" t="s">
        <v>100</v>
      </c>
      <c r="I17" s="40">
        <v>216244.2</v>
      </c>
      <c r="J17" s="29" t="s">
        <v>99</v>
      </c>
      <c r="K17" s="37" t="s">
        <v>14</v>
      </c>
      <c r="L17" s="41" t="s">
        <v>0</v>
      </c>
      <c r="M17" s="37" t="s">
        <v>3</v>
      </c>
      <c r="N17" s="42" t="s">
        <v>98</v>
      </c>
      <c r="O17" s="40" t="s">
        <v>0</v>
      </c>
      <c r="P17" s="42" t="s">
        <v>1</v>
      </c>
      <c r="Q17" s="40" t="s">
        <v>0</v>
      </c>
      <c r="R17" s="40" t="s">
        <v>0</v>
      </c>
      <c r="S17" s="40" t="s">
        <v>0</v>
      </c>
      <c r="T17" s="42" t="s">
        <v>0</v>
      </c>
      <c r="U17" s="39" t="s">
        <v>0</v>
      </c>
    </row>
    <row r="18" spans="1:21" s="36" customFormat="1" ht="69.95" customHeight="1" x14ac:dyDescent="0.4">
      <c r="A18" s="37" t="s">
        <v>97</v>
      </c>
      <c r="B18" s="38">
        <v>46106</v>
      </c>
      <c r="C18" s="39" t="s">
        <v>73</v>
      </c>
      <c r="D18" s="29" t="s">
        <v>96</v>
      </c>
      <c r="E18" s="29" t="s">
        <v>95</v>
      </c>
      <c r="F18" s="29" t="s">
        <v>7</v>
      </c>
      <c r="G18" s="29" t="s">
        <v>51</v>
      </c>
      <c r="H18" s="29" t="s">
        <v>94</v>
      </c>
      <c r="I18" s="40">
        <v>56358.44</v>
      </c>
      <c r="J18" s="29" t="s">
        <v>93</v>
      </c>
      <c r="K18" s="37" t="s">
        <v>4</v>
      </c>
      <c r="L18" s="41" t="s">
        <v>0</v>
      </c>
      <c r="M18" s="37" t="s">
        <v>3</v>
      </c>
      <c r="N18" s="42" t="s">
        <v>92</v>
      </c>
      <c r="O18" s="40" t="s">
        <v>0</v>
      </c>
      <c r="P18" s="42" t="s">
        <v>1</v>
      </c>
      <c r="Q18" s="40" t="s">
        <v>0</v>
      </c>
      <c r="R18" s="40" t="s">
        <v>0</v>
      </c>
      <c r="S18" s="40" t="s">
        <v>0</v>
      </c>
      <c r="T18" s="42" t="s">
        <v>0</v>
      </c>
      <c r="U18" s="39" t="s">
        <v>0</v>
      </c>
    </row>
    <row r="19" spans="1:21" s="36" customFormat="1" ht="69.95" customHeight="1" x14ac:dyDescent="0.4">
      <c r="A19" s="37" t="s">
        <v>91</v>
      </c>
      <c r="B19" s="38">
        <v>46128</v>
      </c>
      <c r="C19" s="39" t="s">
        <v>73</v>
      </c>
      <c r="D19" s="29" t="s">
        <v>72</v>
      </c>
      <c r="E19" s="29" t="s">
        <v>90</v>
      </c>
      <c r="F19" s="29" t="s">
        <v>7</v>
      </c>
      <c r="G19" s="29" t="s">
        <v>51</v>
      </c>
      <c r="H19" s="29" t="s">
        <v>89</v>
      </c>
      <c r="I19" s="40">
        <v>292768.43</v>
      </c>
      <c r="J19" s="29" t="s">
        <v>88</v>
      </c>
      <c r="K19" s="37" t="s">
        <v>4</v>
      </c>
      <c r="L19" s="41" t="s">
        <v>0</v>
      </c>
      <c r="M19" s="37" t="s">
        <v>3</v>
      </c>
      <c r="N19" s="42" t="s">
        <v>87</v>
      </c>
      <c r="O19" s="40" t="s">
        <v>0</v>
      </c>
      <c r="P19" s="42" t="s">
        <v>1</v>
      </c>
      <c r="Q19" s="40" t="s">
        <v>0</v>
      </c>
      <c r="R19" s="40" t="s">
        <v>0</v>
      </c>
      <c r="S19" s="40" t="s">
        <v>0</v>
      </c>
      <c r="T19" s="42" t="s">
        <v>0</v>
      </c>
      <c r="U19" s="39" t="s">
        <v>0</v>
      </c>
    </row>
    <row r="20" spans="1:21" s="36" customFormat="1" ht="69.95" customHeight="1" x14ac:dyDescent="0.4">
      <c r="A20" s="37" t="s">
        <v>86</v>
      </c>
      <c r="B20" s="38">
        <v>46136</v>
      </c>
      <c r="C20" s="39" t="s">
        <v>73</v>
      </c>
      <c r="D20" s="29" t="s">
        <v>85</v>
      </c>
      <c r="E20" s="29" t="s">
        <v>84</v>
      </c>
      <c r="F20" s="29" t="s">
        <v>7</v>
      </c>
      <c r="G20" s="29" t="s">
        <v>16</v>
      </c>
      <c r="H20" s="29" t="s">
        <v>83</v>
      </c>
      <c r="I20" s="40">
        <v>126498.75</v>
      </c>
      <c r="J20" s="29" t="s">
        <v>82</v>
      </c>
      <c r="K20" s="37" t="s">
        <v>14</v>
      </c>
      <c r="L20" s="41" t="s">
        <v>0</v>
      </c>
      <c r="M20" s="37" t="s">
        <v>3</v>
      </c>
      <c r="N20" s="42" t="s">
        <v>81</v>
      </c>
      <c r="O20" s="40" t="s">
        <v>0</v>
      </c>
      <c r="P20" s="42" t="s">
        <v>1</v>
      </c>
      <c r="Q20" s="40" t="s">
        <v>0</v>
      </c>
      <c r="R20" s="40" t="s">
        <v>0</v>
      </c>
      <c r="S20" s="40" t="s">
        <v>0</v>
      </c>
      <c r="T20" s="42" t="s">
        <v>0</v>
      </c>
      <c r="U20" s="39" t="s">
        <v>0</v>
      </c>
    </row>
    <row r="21" spans="1:21" s="36" customFormat="1" ht="69.95" customHeight="1" x14ac:dyDescent="0.4">
      <c r="A21" s="37" t="s">
        <v>80</v>
      </c>
      <c r="B21" s="38">
        <v>46154</v>
      </c>
      <c r="C21" s="39" t="s">
        <v>73</v>
      </c>
      <c r="D21" s="29" t="s">
        <v>79</v>
      </c>
      <c r="E21" s="29" t="s">
        <v>78</v>
      </c>
      <c r="F21" s="29" t="s">
        <v>7</v>
      </c>
      <c r="G21" s="39" t="s">
        <v>0</v>
      </c>
      <c r="H21" s="29" t="s">
        <v>77</v>
      </c>
      <c r="I21" s="40">
        <v>148652.97</v>
      </c>
      <c r="J21" s="29" t="s">
        <v>76</v>
      </c>
      <c r="K21" s="37" t="s">
        <v>4</v>
      </c>
      <c r="L21" s="41" t="s">
        <v>0</v>
      </c>
      <c r="M21" s="37" t="s">
        <v>3</v>
      </c>
      <c r="N21" s="42" t="s">
        <v>75</v>
      </c>
      <c r="O21" s="40" t="s">
        <v>0</v>
      </c>
      <c r="P21" s="42" t="s">
        <v>1</v>
      </c>
      <c r="Q21" s="40" t="s">
        <v>0</v>
      </c>
      <c r="R21" s="40" t="s">
        <v>0</v>
      </c>
      <c r="S21" s="40" t="s">
        <v>0</v>
      </c>
      <c r="T21" s="42" t="s">
        <v>0</v>
      </c>
      <c r="U21" s="39" t="s">
        <v>0</v>
      </c>
    </row>
    <row r="22" spans="1:21" s="36" customFormat="1" ht="69.95" customHeight="1" x14ac:dyDescent="0.4">
      <c r="A22" s="37" t="s">
        <v>74</v>
      </c>
      <c r="B22" s="38">
        <v>46162</v>
      </c>
      <c r="C22" s="39" t="s">
        <v>73</v>
      </c>
      <c r="D22" s="29" t="s">
        <v>72</v>
      </c>
      <c r="E22" s="29" t="s">
        <v>71</v>
      </c>
      <c r="F22" s="29" t="s">
        <v>70</v>
      </c>
      <c r="G22" s="39" t="s">
        <v>0</v>
      </c>
      <c r="H22" s="29" t="s">
        <v>69</v>
      </c>
      <c r="I22" s="40">
        <v>147875.76</v>
      </c>
      <c r="J22" s="29" t="s">
        <v>68</v>
      </c>
      <c r="K22" s="37" t="s">
        <v>4</v>
      </c>
      <c r="L22" s="41" t="s">
        <v>0</v>
      </c>
      <c r="M22" s="37" t="s">
        <v>3</v>
      </c>
      <c r="N22" s="42" t="s">
        <v>67</v>
      </c>
      <c r="O22" s="40" t="s">
        <v>0</v>
      </c>
      <c r="P22" s="42" t="s">
        <v>1</v>
      </c>
      <c r="Q22" s="40" t="s">
        <v>0</v>
      </c>
      <c r="R22" s="40" t="s">
        <v>0</v>
      </c>
      <c r="S22" s="40" t="s">
        <v>0</v>
      </c>
      <c r="T22" s="42" t="s">
        <v>0</v>
      </c>
      <c r="U22" s="39" t="s">
        <v>0</v>
      </c>
    </row>
    <row r="23" spans="1:21" s="36" customFormat="1" ht="69.95" customHeight="1" x14ac:dyDescent="0.4">
      <c r="A23" s="37" t="s">
        <v>66</v>
      </c>
      <c r="B23" s="38">
        <v>46052</v>
      </c>
      <c r="C23" s="39" t="s">
        <v>61</v>
      </c>
      <c r="D23" s="29" t="s">
        <v>60</v>
      </c>
      <c r="E23" s="29" t="s">
        <v>65</v>
      </c>
      <c r="F23" s="29" t="s">
        <v>7</v>
      </c>
      <c r="G23" s="29" t="s">
        <v>16</v>
      </c>
      <c r="H23" s="29" t="s">
        <v>58</v>
      </c>
      <c r="I23" s="40">
        <v>211489.59</v>
      </c>
      <c r="J23" s="29" t="s">
        <v>64</v>
      </c>
      <c r="K23" s="37" t="s">
        <v>14</v>
      </c>
      <c r="L23" s="41" t="s">
        <v>0</v>
      </c>
      <c r="M23" s="37" t="s">
        <v>3</v>
      </c>
      <c r="N23" s="42" t="s">
        <v>63</v>
      </c>
      <c r="O23" s="40" t="s">
        <v>0</v>
      </c>
      <c r="P23" s="42" t="s">
        <v>1</v>
      </c>
      <c r="Q23" s="40" t="s">
        <v>0</v>
      </c>
      <c r="R23" s="40" t="s">
        <v>0</v>
      </c>
      <c r="S23" s="40" t="s">
        <v>0</v>
      </c>
      <c r="T23" s="42" t="s">
        <v>0</v>
      </c>
      <c r="U23" s="39" t="s">
        <v>0</v>
      </c>
    </row>
    <row r="24" spans="1:21" s="36" customFormat="1" ht="69.95" customHeight="1" x14ac:dyDescent="0.4">
      <c r="A24" s="37" t="s">
        <v>62</v>
      </c>
      <c r="B24" s="38">
        <v>46136</v>
      </c>
      <c r="C24" s="39" t="s">
        <v>61</v>
      </c>
      <c r="D24" s="29" t="s">
        <v>60</v>
      </c>
      <c r="E24" s="29" t="s">
        <v>59</v>
      </c>
      <c r="F24" s="29" t="s">
        <v>7</v>
      </c>
      <c r="G24" s="39" t="s">
        <v>0</v>
      </c>
      <c r="H24" s="29" t="s">
        <v>58</v>
      </c>
      <c r="I24" s="40">
        <v>288249.61</v>
      </c>
      <c r="J24" s="29" t="s">
        <v>57</v>
      </c>
      <c r="K24" s="37" t="s">
        <v>4</v>
      </c>
      <c r="L24" s="41" t="s">
        <v>0</v>
      </c>
      <c r="M24" s="37" t="s">
        <v>3</v>
      </c>
      <c r="N24" s="42" t="s">
        <v>56</v>
      </c>
      <c r="O24" s="40" t="s">
        <v>0</v>
      </c>
      <c r="P24" s="42" t="s">
        <v>1</v>
      </c>
      <c r="Q24" s="40" t="s">
        <v>0</v>
      </c>
      <c r="R24" s="40" t="s">
        <v>0</v>
      </c>
      <c r="S24" s="40" t="s">
        <v>0</v>
      </c>
      <c r="T24" s="42" t="s">
        <v>0</v>
      </c>
      <c r="U24" s="39" t="s">
        <v>0</v>
      </c>
    </row>
    <row r="25" spans="1:21" s="36" customFormat="1" ht="69.95" customHeight="1" x14ac:dyDescent="0.4">
      <c r="A25" s="37" t="s">
        <v>55</v>
      </c>
      <c r="B25" s="38">
        <v>45980</v>
      </c>
      <c r="C25" s="39" t="s">
        <v>54</v>
      </c>
      <c r="D25" s="29" t="s">
        <v>53</v>
      </c>
      <c r="E25" s="29" t="s">
        <v>52</v>
      </c>
      <c r="F25" s="29" t="s">
        <v>7</v>
      </c>
      <c r="G25" s="29" t="s">
        <v>51</v>
      </c>
      <c r="H25" s="29" t="s">
        <v>50</v>
      </c>
      <c r="I25" s="40">
        <v>73450</v>
      </c>
      <c r="J25" s="29" t="s">
        <v>49</v>
      </c>
      <c r="K25" s="37" t="s">
        <v>14</v>
      </c>
      <c r="L25" s="41" t="s">
        <v>0</v>
      </c>
      <c r="M25" s="37" t="s">
        <v>3</v>
      </c>
      <c r="N25" s="42" t="s">
        <v>48</v>
      </c>
      <c r="O25" s="40" t="s">
        <v>0</v>
      </c>
      <c r="P25" s="42" t="s">
        <v>1</v>
      </c>
      <c r="Q25" s="40" t="s">
        <v>0</v>
      </c>
      <c r="R25" s="40" t="s">
        <v>0</v>
      </c>
      <c r="S25" s="40" t="s">
        <v>0</v>
      </c>
      <c r="T25" s="42" t="s">
        <v>0</v>
      </c>
      <c r="U25" s="39" t="s">
        <v>0</v>
      </c>
    </row>
    <row r="26" spans="1:21" s="36" customFormat="1" ht="69.95" customHeight="1" x14ac:dyDescent="0.4">
      <c r="A26" s="37" t="s">
        <v>47</v>
      </c>
      <c r="B26" s="38">
        <v>46077</v>
      </c>
      <c r="C26" s="39" t="s">
        <v>10</v>
      </c>
      <c r="D26" s="29" t="s">
        <v>32</v>
      </c>
      <c r="E26" s="29" t="s">
        <v>46</v>
      </c>
      <c r="F26" s="29" t="s">
        <v>7</v>
      </c>
      <c r="G26" s="29" t="s">
        <v>16</v>
      </c>
      <c r="H26" s="29" t="s">
        <v>45</v>
      </c>
      <c r="I26" s="40">
        <v>92196.79</v>
      </c>
      <c r="J26" s="29" t="s">
        <v>44</v>
      </c>
      <c r="K26" s="37" t="s">
        <v>14</v>
      </c>
      <c r="L26" s="41" t="s">
        <v>0</v>
      </c>
      <c r="M26" s="37" t="s">
        <v>21</v>
      </c>
      <c r="N26" s="42" t="s">
        <v>0</v>
      </c>
      <c r="O26" s="40" t="s">
        <v>0</v>
      </c>
      <c r="P26" s="42" t="s">
        <v>1</v>
      </c>
      <c r="Q26" s="40" t="s">
        <v>0</v>
      </c>
      <c r="R26" s="40" t="s">
        <v>0</v>
      </c>
      <c r="S26" s="40" t="s">
        <v>0</v>
      </c>
      <c r="T26" s="42" t="s">
        <v>0</v>
      </c>
      <c r="U26" s="39" t="s">
        <v>0</v>
      </c>
    </row>
    <row r="27" spans="1:21" s="36" customFormat="1" ht="204.75" customHeight="1" x14ac:dyDescent="0.4">
      <c r="A27" s="37" t="s">
        <v>43</v>
      </c>
      <c r="B27" s="38">
        <v>45982</v>
      </c>
      <c r="C27" s="39" t="s">
        <v>10</v>
      </c>
      <c r="D27" s="29" t="s">
        <v>26</v>
      </c>
      <c r="E27" s="29" t="s">
        <v>42</v>
      </c>
      <c r="F27" s="29" t="s">
        <v>24</v>
      </c>
      <c r="G27" s="29" t="s">
        <v>16</v>
      </c>
      <c r="H27" s="29" t="s">
        <v>41</v>
      </c>
      <c r="I27" s="40">
        <v>150138.76</v>
      </c>
      <c r="J27" s="29" t="s">
        <v>40</v>
      </c>
      <c r="K27" s="37" t="s">
        <v>14</v>
      </c>
      <c r="L27" s="41" t="s">
        <v>0</v>
      </c>
      <c r="M27" s="37" t="s">
        <v>3</v>
      </c>
      <c r="N27" s="42" t="s">
        <v>39</v>
      </c>
      <c r="O27" s="40" t="s">
        <v>0</v>
      </c>
      <c r="P27" s="42" t="s">
        <v>1</v>
      </c>
      <c r="Q27" s="40" t="s">
        <v>0</v>
      </c>
      <c r="R27" s="40" t="s">
        <v>0</v>
      </c>
      <c r="S27" s="40" t="s">
        <v>0</v>
      </c>
      <c r="T27" s="42" t="s">
        <v>0</v>
      </c>
      <c r="U27" s="39" t="s">
        <v>0</v>
      </c>
    </row>
    <row r="28" spans="1:21" s="36" customFormat="1" ht="69.95" customHeight="1" x14ac:dyDescent="0.4">
      <c r="A28" s="37" t="s">
        <v>38</v>
      </c>
      <c r="B28" s="38">
        <v>46125</v>
      </c>
      <c r="C28" s="39" t="s">
        <v>10</v>
      </c>
      <c r="D28" s="29" t="s">
        <v>9</v>
      </c>
      <c r="E28" s="29" t="s">
        <v>37</v>
      </c>
      <c r="F28" s="29" t="s">
        <v>7</v>
      </c>
      <c r="G28" s="29" t="s">
        <v>16</v>
      </c>
      <c r="H28" s="29" t="s">
        <v>36</v>
      </c>
      <c r="I28" s="40">
        <v>87448.74</v>
      </c>
      <c r="J28" s="29" t="s">
        <v>35</v>
      </c>
      <c r="K28" s="37" t="s">
        <v>14</v>
      </c>
      <c r="L28" s="41" t="s">
        <v>0</v>
      </c>
      <c r="M28" s="37" t="s">
        <v>3</v>
      </c>
      <c r="N28" s="42" t="s">
        <v>34</v>
      </c>
      <c r="O28" s="40" t="s">
        <v>0</v>
      </c>
      <c r="P28" s="42" t="s">
        <v>1</v>
      </c>
      <c r="Q28" s="40" t="s">
        <v>0</v>
      </c>
      <c r="R28" s="40" t="s">
        <v>0</v>
      </c>
      <c r="S28" s="40" t="s">
        <v>0</v>
      </c>
      <c r="T28" s="42" t="s">
        <v>0</v>
      </c>
      <c r="U28" s="39" t="s">
        <v>0</v>
      </c>
    </row>
    <row r="29" spans="1:21" s="36" customFormat="1" ht="69.95" customHeight="1" x14ac:dyDescent="0.4">
      <c r="A29" s="37" t="s">
        <v>33</v>
      </c>
      <c r="B29" s="38">
        <v>46122</v>
      </c>
      <c r="C29" s="39" t="s">
        <v>10</v>
      </c>
      <c r="D29" s="29" t="s">
        <v>32</v>
      </c>
      <c r="E29" s="29" t="s">
        <v>31</v>
      </c>
      <c r="F29" s="29" t="s">
        <v>7</v>
      </c>
      <c r="G29" s="39" t="s">
        <v>0</v>
      </c>
      <c r="H29" s="29" t="s">
        <v>30</v>
      </c>
      <c r="I29" s="40">
        <v>95264.27</v>
      </c>
      <c r="J29" s="29" t="s">
        <v>29</v>
      </c>
      <c r="K29" s="37" t="s">
        <v>4</v>
      </c>
      <c r="L29" s="41" t="s">
        <v>0</v>
      </c>
      <c r="M29" s="37" t="s">
        <v>3</v>
      </c>
      <c r="N29" s="42" t="s">
        <v>28</v>
      </c>
      <c r="O29" s="40" t="s">
        <v>0</v>
      </c>
      <c r="P29" s="42" t="s">
        <v>1</v>
      </c>
      <c r="Q29" s="40" t="s">
        <v>0</v>
      </c>
      <c r="R29" s="40" t="s">
        <v>0</v>
      </c>
      <c r="S29" s="40" t="s">
        <v>0</v>
      </c>
      <c r="T29" s="42" t="s">
        <v>0</v>
      </c>
      <c r="U29" s="39" t="s">
        <v>0</v>
      </c>
    </row>
    <row r="30" spans="1:21" s="36" customFormat="1" ht="69.95" customHeight="1" x14ac:dyDescent="0.4">
      <c r="A30" s="37" t="s">
        <v>27</v>
      </c>
      <c r="B30" s="38">
        <v>46164</v>
      </c>
      <c r="C30" s="39" t="s">
        <v>10</v>
      </c>
      <c r="D30" s="29" t="s">
        <v>26</v>
      </c>
      <c r="E30" s="29" t="s">
        <v>25</v>
      </c>
      <c r="F30" s="29" t="s">
        <v>24</v>
      </c>
      <c r="G30" s="29" t="s">
        <v>23</v>
      </c>
      <c r="H30" s="29" t="s">
        <v>16</v>
      </c>
      <c r="I30" s="40">
        <v>7552.23</v>
      </c>
      <c r="J30" s="29" t="s">
        <v>22</v>
      </c>
      <c r="K30" s="37" t="s">
        <v>14</v>
      </c>
      <c r="L30" s="41" t="s">
        <v>0</v>
      </c>
      <c r="M30" s="37" t="s">
        <v>21</v>
      </c>
      <c r="N30" s="42" t="s">
        <v>0</v>
      </c>
      <c r="O30" s="40" t="s">
        <v>0</v>
      </c>
      <c r="P30" s="42" t="s">
        <v>1</v>
      </c>
      <c r="Q30" s="40" t="s">
        <v>0</v>
      </c>
      <c r="R30" s="40" t="s">
        <v>0</v>
      </c>
      <c r="S30" s="40" t="s">
        <v>0</v>
      </c>
      <c r="T30" s="42" t="s">
        <v>0</v>
      </c>
      <c r="U30" s="39" t="s">
        <v>0</v>
      </c>
    </row>
    <row r="31" spans="1:21" s="36" customFormat="1" ht="118.5" customHeight="1" x14ac:dyDescent="0.4">
      <c r="A31" s="37" t="s">
        <v>20</v>
      </c>
      <c r="B31" s="38">
        <v>46100</v>
      </c>
      <c r="C31" s="39" t="s">
        <v>10</v>
      </c>
      <c r="D31" s="29" t="s">
        <v>19</v>
      </c>
      <c r="E31" s="29" t="s">
        <v>18</v>
      </c>
      <c r="F31" s="29" t="s">
        <v>7</v>
      </c>
      <c r="G31" s="29" t="s">
        <v>17</v>
      </c>
      <c r="H31" s="29" t="s">
        <v>16</v>
      </c>
      <c r="I31" s="40">
        <v>62212.09</v>
      </c>
      <c r="J31" s="29" t="s">
        <v>15</v>
      </c>
      <c r="K31" s="37" t="s">
        <v>14</v>
      </c>
      <c r="L31" s="41" t="s">
        <v>0</v>
      </c>
      <c r="M31" s="37" t="s">
        <v>13</v>
      </c>
      <c r="N31" s="42" t="s">
        <v>0</v>
      </c>
      <c r="O31" s="40" t="s">
        <v>0</v>
      </c>
      <c r="P31" s="42" t="s">
        <v>13</v>
      </c>
      <c r="Q31" s="40" t="s">
        <v>12</v>
      </c>
      <c r="R31" s="44">
        <v>10000</v>
      </c>
      <c r="S31" s="40">
        <v>13480.32</v>
      </c>
      <c r="T31" s="43">
        <f>I31-S31</f>
        <v>48731.77</v>
      </c>
      <c r="U31" s="39" t="s">
        <v>0</v>
      </c>
    </row>
    <row r="32" spans="1:21" s="36" customFormat="1" ht="112.5" customHeight="1" x14ac:dyDescent="0.4">
      <c r="A32" s="45" t="s">
        <v>11</v>
      </c>
      <c r="B32" s="46">
        <v>46176</v>
      </c>
      <c r="C32" s="47" t="s">
        <v>10</v>
      </c>
      <c r="D32" s="48" t="s">
        <v>9</v>
      </c>
      <c r="E32" s="48" t="s">
        <v>8</v>
      </c>
      <c r="F32" s="48" t="s">
        <v>7</v>
      </c>
      <c r="G32" s="47" t="s">
        <v>0</v>
      </c>
      <c r="H32" s="48" t="s">
        <v>6</v>
      </c>
      <c r="I32" s="49">
        <v>111225.49</v>
      </c>
      <c r="J32" s="48" t="s">
        <v>5</v>
      </c>
      <c r="K32" s="45" t="s">
        <v>4</v>
      </c>
      <c r="L32" s="50" t="s">
        <v>0</v>
      </c>
      <c r="M32" s="45" t="s">
        <v>3</v>
      </c>
      <c r="N32" s="51" t="s">
        <v>2</v>
      </c>
      <c r="O32" s="49" t="s">
        <v>0</v>
      </c>
      <c r="P32" s="51" t="s">
        <v>1</v>
      </c>
      <c r="Q32" s="49" t="s">
        <v>0</v>
      </c>
      <c r="R32" s="49" t="s">
        <v>0</v>
      </c>
      <c r="S32" s="49" t="s">
        <v>0</v>
      </c>
      <c r="T32" s="51" t="s">
        <v>0</v>
      </c>
      <c r="U32" s="47" t="s">
        <v>0</v>
      </c>
    </row>
    <row r="33" spans="1:21" s="54" customFormat="1" ht="69.95" customHeight="1" x14ac:dyDescent="0.25">
      <c r="A33" s="52" t="s">
        <v>215</v>
      </c>
      <c r="B33" s="53">
        <v>46167</v>
      </c>
      <c r="C33" s="54" t="s">
        <v>128</v>
      </c>
      <c r="D33" s="55" t="s">
        <v>217</v>
      </c>
      <c r="E33" s="55" t="s">
        <v>218</v>
      </c>
      <c r="F33" s="55" t="s">
        <v>7</v>
      </c>
      <c r="G33" s="54" t="s">
        <v>0</v>
      </c>
      <c r="H33" s="55" t="s">
        <v>220</v>
      </c>
      <c r="I33" s="56">
        <v>1260016.06</v>
      </c>
      <c r="J33" s="29" t="s">
        <v>216</v>
      </c>
      <c r="K33" s="52" t="s">
        <v>4</v>
      </c>
      <c r="L33" s="54" t="s">
        <v>0</v>
      </c>
      <c r="M33" s="52" t="s">
        <v>3</v>
      </c>
      <c r="N33" s="57" t="s">
        <v>219</v>
      </c>
      <c r="O33" s="57" t="s">
        <v>0</v>
      </c>
      <c r="P33" s="57" t="s">
        <v>1</v>
      </c>
      <c r="Q33" s="57" t="s">
        <v>0</v>
      </c>
      <c r="R33" s="57" t="s">
        <v>0</v>
      </c>
      <c r="S33" s="57" t="s">
        <v>0</v>
      </c>
      <c r="T33" s="57" t="s">
        <v>0</v>
      </c>
      <c r="U33" s="54" t="s">
        <v>0</v>
      </c>
    </row>
    <row r="34" spans="1:21" s="54" customFormat="1" ht="69.95" customHeight="1" x14ac:dyDescent="0.25">
      <c r="A34" s="52" t="s">
        <v>221</v>
      </c>
      <c r="B34" s="53">
        <v>46195</v>
      </c>
      <c r="C34" s="54" t="s">
        <v>140</v>
      </c>
      <c r="D34" s="55" t="s">
        <v>223</v>
      </c>
      <c r="E34" s="55" t="s">
        <v>222</v>
      </c>
      <c r="F34" s="55" t="s">
        <v>7</v>
      </c>
      <c r="G34" s="54" t="s">
        <v>0</v>
      </c>
      <c r="H34" s="55" t="s">
        <v>6</v>
      </c>
      <c r="I34" s="56">
        <v>580090.67000000004</v>
      </c>
      <c r="J34" s="29" t="s">
        <v>224</v>
      </c>
      <c r="K34" s="52" t="s">
        <v>4</v>
      </c>
      <c r="L34" s="54" t="s">
        <v>0</v>
      </c>
      <c r="M34" s="52" t="s">
        <v>3</v>
      </c>
      <c r="N34" s="57" t="s">
        <v>225</v>
      </c>
      <c r="O34" s="57" t="s">
        <v>0</v>
      </c>
      <c r="P34" s="57" t="s">
        <v>1</v>
      </c>
      <c r="Q34" s="57" t="s">
        <v>0</v>
      </c>
      <c r="R34" s="57" t="s">
        <v>0</v>
      </c>
      <c r="S34" s="57" t="s">
        <v>0</v>
      </c>
      <c r="T34" s="57" t="s">
        <v>0</v>
      </c>
      <c r="U34" s="54" t="s">
        <v>0</v>
      </c>
    </row>
  </sheetData>
  <autoFilter ref="A2:U2" xr:uid="{AA6E10EC-1C14-494A-A633-E15C4D12B182}"/>
  <mergeCells count="1">
    <mergeCell ref="A1:U1"/>
  </mergeCells>
  <dataValidations count="2">
    <dataValidation type="list" allowBlank="1" showInputMessage="1" showErrorMessage="1" sqref="C14:C16 C26:C29 C23" xr:uid="{D39D1B9B-A343-4D73-83B1-605AE8C2C32E}">
      <formula1>"TRT 23ª,TRT 8ª,TRT 14ª,TRT 10ª"</formula1>
    </dataValidation>
    <dataValidation type="list" allowBlank="1" showInputMessage="1" showErrorMessage="1" sqref="P16:P34 P3:P14 R3:R9 R11:R12 R14:R30 R32" xr:uid="{691F1AE9-F7F4-4D12-BA06-1961B26EF180}">
      <formula1>"EM ANDAMENTO,ENCERRADO"</formula1>
    </dataValidation>
  </dataValidation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175C1-CEE3-4842-AB33-B5F9C54E93D2}">
  <sheetPr>
    <tabColor theme="4" tint="-0.249977111117893"/>
  </sheetPr>
  <dimension ref="A1:AH61"/>
  <sheetViews>
    <sheetView showGridLines="0" tabSelected="1" topLeftCell="J23" zoomScale="40" zoomScaleNormal="40" workbookViewId="0">
      <selection activeCell="P24" sqref="P24"/>
    </sheetView>
  </sheetViews>
  <sheetFormatPr defaultColWidth="0" defaultRowHeight="69.95" customHeight="1" zeroHeight="1" x14ac:dyDescent="0.25"/>
  <cols>
    <col min="1" max="26" width="56.42578125" customWidth="1"/>
    <col min="27" max="34" width="0" hidden="1" customWidth="1"/>
    <col min="35" max="16384" width="56.42578125" hidden="1"/>
  </cols>
  <sheetData>
    <row r="1" spans="1:34" s="4" customFormat="1" ht="120" customHeight="1" x14ac:dyDescent="0.7">
      <c r="A1" s="7" t="s">
        <v>214</v>
      </c>
      <c r="B1" s="7"/>
      <c r="C1" s="7"/>
      <c r="D1" s="7"/>
      <c r="E1" s="7"/>
      <c r="F1" s="7"/>
      <c r="G1" s="7"/>
      <c r="H1" s="7"/>
      <c r="I1" s="7"/>
      <c r="J1" s="7"/>
      <c r="K1" s="7"/>
      <c r="L1" s="7"/>
      <c r="M1" s="7"/>
      <c r="N1" s="7"/>
      <c r="O1" s="7"/>
      <c r="P1" s="7"/>
      <c r="Q1" s="7"/>
      <c r="R1" s="7"/>
      <c r="S1" s="7"/>
      <c r="T1" s="7"/>
      <c r="U1" s="5"/>
      <c r="V1" s="5"/>
      <c r="W1" s="5"/>
      <c r="X1" s="5"/>
      <c r="Y1" s="5"/>
      <c r="Z1" s="5"/>
      <c r="AA1"/>
      <c r="AB1"/>
      <c r="AC1"/>
      <c r="AD1"/>
      <c r="AE1"/>
      <c r="AF1"/>
      <c r="AG1"/>
      <c r="AH1"/>
    </row>
    <row r="2" spans="1:34" s="3" customFormat="1" ht="69.95" customHeight="1" x14ac:dyDescent="0.35"/>
    <row r="3" spans="1:34" s="3" customFormat="1" ht="69.95" customHeight="1" x14ac:dyDescent="0.35">
      <c r="B3" s="16" t="s">
        <v>212</v>
      </c>
      <c r="C3" s="16" t="s">
        <v>211</v>
      </c>
      <c r="D3" s="16" t="s">
        <v>210</v>
      </c>
      <c r="E3" s="17" t="s">
        <v>209</v>
      </c>
      <c r="F3" s="17" t="s">
        <v>156</v>
      </c>
      <c r="H3" s="2" t="s">
        <v>176</v>
      </c>
      <c r="J3" s="19" t="s">
        <v>208</v>
      </c>
      <c r="K3" s="19"/>
    </row>
    <row r="4" spans="1:34" s="3" customFormat="1" ht="69.95" customHeight="1" x14ac:dyDescent="0.35">
      <c r="B4" s="12">
        <f>SUM(PROCESSOS!O3:O100)</f>
        <v>816428.3</v>
      </c>
      <c r="C4" s="12">
        <f>SUM(PROCESSOS!I3:I100)</f>
        <v>6776535.9300000016</v>
      </c>
      <c r="D4" s="13">
        <f>SUM(PROCESSOS!R3:R100)</f>
        <v>225000</v>
      </c>
      <c r="E4" s="14">
        <f>SUM(PROCESSOS!S3:S100)</f>
        <v>643231.54999999993</v>
      </c>
      <c r="F4" s="15">
        <f>COUNTIF(PROCESSOS!S3:S100,F3)</f>
        <v>1</v>
      </c>
      <c r="H4" s="8">
        <f>C4-E4</f>
        <v>6133304.3800000018</v>
      </c>
      <c r="J4" s="20">
        <f>COUNTA(PROCESSOS!C3:C100)</f>
        <v>32</v>
      </c>
      <c r="K4" s="20"/>
    </row>
    <row r="5" spans="1:34" s="3" customFormat="1" ht="69.95" customHeight="1" x14ac:dyDescent="0.35">
      <c r="H5" s="9"/>
      <c r="R5" s="17" t="s">
        <v>180</v>
      </c>
      <c r="S5" s="17" t="s">
        <v>213</v>
      </c>
    </row>
    <row r="6" spans="1:34" s="3" customFormat="1" ht="69.95" customHeight="1" x14ac:dyDescent="0.4">
      <c r="H6" s="9"/>
      <c r="J6" s="17" t="s">
        <v>207</v>
      </c>
      <c r="K6" s="17" t="s">
        <v>206</v>
      </c>
      <c r="R6" s="21" t="s">
        <v>1</v>
      </c>
      <c r="S6" s="15">
        <f>COUNTIF(PROCESSOS!P3:P100,R6)</f>
        <v>30</v>
      </c>
    </row>
    <row r="7" spans="1:34" s="3" customFormat="1" ht="69.95" customHeight="1" x14ac:dyDescent="0.4">
      <c r="H7" s="9"/>
      <c r="J7" s="18" t="s">
        <v>108</v>
      </c>
      <c r="K7" s="15">
        <f>COUNTIF(PROCESSOS!K3:K100,J7)</f>
        <v>5</v>
      </c>
      <c r="R7" s="22" t="s">
        <v>13</v>
      </c>
      <c r="S7" s="23">
        <f>COUNTIF(PROCESSOS!P3:P100,R7)</f>
        <v>1</v>
      </c>
    </row>
    <row r="8" spans="1:34" s="3" customFormat="1" ht="69.95" customHeight="1" x14ac:dyDescent="0.4">
      <c r="H8" s="10"/>
      <c r="J8" s="18" t="s">
        <v>14</v>
      </c>
      <c r="K8" s="15">
        <f>COUNTIF(PROCESSOS!K3:K100,J8)</f>
        <v>14</v>
      </c>
      <c r="R8" s="21" t="s">
        <v>108</v>
      </c>
      <c r="S8" s="15">
        <f>COUNTIF(PROCESSOS!P3:P100,R8)</f>
        <v>1</v>
      </c>
    </row>
    <row r="9" spans="1:34" s="3" customFormat="1" ht="69.95" customHeight="1" x14ac:dyDescent="0.4">
      <c r="J9" s="18" t="s">
        <v>123</v>
      </c>
      <c r="K9" s="15">
        <f>COUNTIF(PROCESSOS!K3:K100,J9)</f>
        <v>3</v>
      </c>
      <c r="R9" s="22" t="s">
        <v>205</v>
      </c>
      <c r="S9" s="23">
        <f>COUNTIF(PROCESSOS!P3:P100,R9)</f>
        <v>0</v>
      </c>
    </row>
    <row r="10" spans="1:34" s="3" customFormat="1" ht="69.95" customHeight="1" x14ac:dyDescent="0.4">
      <c r="J10" s="18" t="s">
        <v>116</v>
      </c>
      <c r="K10" s="15">
        <f>COUNTIF(PROCESSOS!K3:K100,J10)</f>
        <v>1</v>
      </c>
      <c r="R10" s="21" t="s">
        <v>204</v>
      </c>
      <c r="S10" s="15">
        <f>COUNTIF(PROCESSOS!P3:P100,R10)</f>
        <v>0</v>
      </c>
    </row>
    <row r="11" spans="1:34" s="3" customFormat="1" ht="69.95" customHeight="1" x14ac:dyDescent="0.35">
      <c r="J11" s="18" t="s">
        <v>4</v>
      </c>
      <c r="K11" s="15">
        <f>COUNTIF(PROCESSOS!K3:K100,J11)</f>
        <v>9</v>
      </c>
    </row>
    <row r="12" spans="1:34" s="3" customFormat="1" ht="69.95" customHeight="1" x14ac:dyDescent="0.35"/>
    <row r="13" spans="1:34" s="3" customFormat="1" ht="69.95" customHeight="1" x14ac:dyDescent="0.35"/>
    <row r="14" spans="1:34" s="3" customFormat="1" ht="69.95" customHeight="1" x14ac:dyDescent="0.35"/>
    <row r="15" spans="1:34" s="3" customFormat="1" ht="69.95" customHeight="1" x14ac:dyDescent="0.35"/>
    <row r="16" spans="1:34" s="3" customFormat="1" ht="69.95" customHeight="1" x14ac:dyDescent="0.35"/>
    <row r="17" spans="2:20" s="3" customFormat="1" ht="69.95" customHeight="1" x14ac:dyDescent="0.35"/>
    <row r="18" spans="2:20" s="3" customFormat="1" ht="69.95" customHeight="1" x14ac:dyDescent="0.35"/>
    <row r="19" spans="2:20" s="3" customFormat="1" ht="69.95" customHeight="1" x14ac:dyDescent="0.35"/>
    <row r="20" spans="2:20" s="3" customFormat="1" ht="69.95" customHeight="1" x14ac:dyDescent="0.35"/>
    <row r="21" spans="2:20" s="3" customFormat="1" ht="69.95" customHeight="1" x14ac:dyDescent="0.35"/>
    <row r="22" spans="2:20" s="3" customFormat="1" ht="69.95" customHeight="1" x14ac:dyDescent="0.35"/>
    <row r="23" spans="2:20" s="3" customFormat="1" ht="69.95" customHeight="1" x14ac:dyDescent="0.35">
      <c r="K23"/>
      <c r="L23"/>
      <c r="M23"/>
      <c r="N23"/>
      <c r="O23"/>
      <c r="P23"/>
      <c r="Q23"/>
      <c r="R23"/>
      <c r="S23"/>
      <c r="T23"/>
    </row>
    <row r="24" spans="2:20" s="3" customFormat="1" ht="69.95" customHeight="1" x14ac:dyDescent="0.35">
      <c r="B24" s="16" t="s">
        <v>203</v>
      </c>
      <c r="C24" s="16" t="s">
        <v>202</v>
      </c>
      <c r="K24" s="30" t="s">
        <v>201</v>
      </c>
      <c r="L24" s="31"/>
      <c r="M24" s="31"/>
      <c r="N24" s="31"/>
      <c r="O24" s="32" t="s">
        <v>200</v>
      </c>
      <c r="P24"/>
      <c r="Q24"/>
      <c r="R24"/>
      <c r="S24"/>
      <c r="T24"/>
    </row>
    <row r="25" spans="2:20" s="3" customFormat="1" ht="69.95" customHeight="1" x14ac:dyDescent="0.35">
      <c r="B25" s="24" t="s">
        <v>134</v>
      </c>
      <c r="C25" s="15">
        <f>COUNTIF(PROCESSOS!C3:C100,B25)</f>
        <v>1</v>
      </c>
      <c r="K25" s="33" t="s">
        <v>163</v>
      </c>
      <c r="L25" s="33"/>
      <c r="M25" s="33"/>
      <c r="N25" s="33"/>
      <c r="O25" s="15">
        <f>COUNTIF(PROCESSOS!H3:H100,K25 &amp; "*")</f>
        <v>4</v>
      </c>
      <c r="P25"/>
      <c r="Q25"/>
      <c r="R25"/>
      <c r="S25"/>
      <c r="T25"/>
    </row>
    <row r="26" spans="2:20" s="3" customFormat="1" ht="69.95" customHeight="1" x14ac:dyDescent="0.35">
      <c r="B26" s="25" t="s">
        <v>128</v>
      </c>
      <c r="C26" s="23">
        <f>COUNTIF(PROCESSOS!C3:C100,B26)</f>
        <v>2</v>
      </c>
      <c r="K26" s="33" t="s">
        <v>158</v>
      </c>
      <c r="L26" s="33"/>
      <c r="M26" s="33"/>
      <c r="N26" s="33"/>
      <c r="O26" s="15">
        <f>COUNTIF(PROCESSOS!H3:H100,K26 &amp; "*")</f>
        <v>1</v>
      </c>
      <c r="P26"/>
      <c r="Q26"/>
      <c r="R26"/>
      <c r="S26"/>
      <c r="T26"/>
    </row>
    <row r="27" spans="2:20" s="3" customFormat="1" ht="69.95" customHeight="1" x14ac:dyDescent="0.35">
      <c r="B27" s="24" t="s">
        <v>73</v>
      </c>
      <c r="C27" s="15">
        <f>COUNTIF(PROCESSOS!C3:C100,B27)</f>
        <v>9</v>
      </c>
      <c r="K27" s="33" t="s">
        <v>6</v>
      </c>
      <c r="L27" s="33"/>
      <c r="M27" s="33"/>
      <c r="N27" s="33"/>
      <c r="O27" s="15">
        <f>COUNTIF(PROCESSOS!H3:H100,K27 &amp; "*")</f>
        <v>6</v>
      </c>
      <c r="P27"/>
      <c r="Q27"/>
      <c r="R27"/>
      <c r="S27"/>
      <c r="T27"/>
    </row>
    <row r="28" spans="2:20" s="3" customFormat="1" ht="69.95" customHeight="1" x14ac:dyDescent="0.35">
      <c r="B28" s="25" t="s">
        <v>61</v>
      </c>
      <c r="C28" s="23">
        <f>COUNTIF(PROCESSOS!C3:C100,B28)</f>
        <v>2</v>
      </c>
      <c r="K28" s="33" t="s">
        <v>131</v>
      </c>
      <c r="L28" s="33"/>
      <c r="M28" s="33"/>
      <c r="N28" s="33"/>
      <c r="O28" s="15">
        <f>COUNTIF(PROCESSOS!H3:H100,K28 &amp; "*")</f>
        <v>1</v>
      </c>
      <c r="P28"/>
      <c r="Q28"/>
      <c r="R28"/>
      <c r="S28"/>
      <c r="T28"/>
    </row>
    <row r="29" spans="2:20" s="3" customFormat="1" ht="69.95" customHeight="1" x14ac:dyDescent="0.35">
      <c r="B29" s="24" t="s">
        <v>140</v>
      </c>
      <c r="C29" s="15">
        <f>COUNTIF(PROCESSOS!C3:C100,B29)</f>
        <v>10</v>
      </c>
      <c r="K29" s="33" t="s">
        <v>125</v>
      </c>
      <c r="L29" s="33"/>
      <c r="M29" s="33"/>
      <c r="N29" s="33"/>
      <c r="O29" s="15">
        <f>COUNTIF(PROCESSOS!H3:H100,K29 &amp; "*")</f>
        <v>1</v>
      </c>
      <c r="P29"/>
      <c r="Q29"/>
      <c r="R29"/>
      <c r="S29"/>
      <c r="T29"/>
    </row>
    <row r="30" spans="2:20" s="3" customFormat="1" ht="69.95" customHeight="1" x14ac:dyDescent="0.35">
      <c r="B30" s="25" t="s">
        <v>54</v>
      </c>
      <c r="C30" s="23">
        <f>COUNTIF(PROCESSOS!C3:C100,B30)</f>
        <v>1</v>
      </c>
      <c r="K30" s="33" t="s">
        <v>118</v>
      </c>
      <c r="L30" s="33"/>
      <c r="M30" s="33"/>
      <c r="N30" s="33"/>
      <c r="O30" s="15">
        <f>COUNTIF(PROCESSOS!H3:H100,K30 &amp; "*")</f>
        <v>1</v>
      </c>
      <c r="P30"/>
      <c r="Q30"/>
      <c r="R30"/>
      <c r="S30"/>
      <c r="T30"/>
    </row>
    <row r="31" spans="2:20" s="3" customFormat="1" ht="69.95" customHeight="1" x14ac:dyDescent="0.35">
      <c r="B31" s="24" t="s">
        <v>10</v>
      </c>
      <c r="C31" s="15">
        <f>COUNTIF(PROCESSOS!C3:C100,B31)</f>
        <v>7</v>
      </c>
      <c r="K31" s="33" t="s">
        <v>83</v>
      </c>
      <c r="L31" s="33"/>
      <c r="M31" s="33"/>
      <c r="N31" s="33"/>
      <c r="O31" s="15">
        <f>COUNTIF(PROCESSOS!H3:H100,K31 &amp; "*")</f>
        <v>3</v>
      </c>
      <c r="P31"/>
      <c r="Q31"/>
      <c r="R31"/>
      <c r="S31"/>
      <c r="T31"/>
    </row>
    <row r="32" spans="2:20" s="3" customFormat="1" ht="69.95" customHeight="1" x14ac:dyDescent="0.4">
      <c r="B32" s="26"/>
      <c r="C32" s="26"/>
      <c r="K32" s="33" t="s">
        <v>77</v>
      </c>
      <c r="L32" s="33"/>
      <c r="M32" s="33"/>
      <c r="N32" s="33"/>
      <c r="O32" s="15">
        <f>COUNTIF(PROCESSOS!H3:H100,K32 &amp; "*")</f>
        <v>1</v>
      </c>
      <c r="P32"/>
      <c r="Q32"/>
      <c r="R32"/>
      <c r="S32"/>
      <c r="T32"/>
    </row>
    <row r="33" spans="2:22" s="3" customFormat="1" ht="69.95" customHeight="1" x14ac:dyDescent="0.4">
      <c r="B33" s="26"/>
      <c r="C33" s="26"/>
      <c r="K33" s="33" t="s">
        <v>69</v>
      </c>
      <c r="L33" s="33"/>
      <c r="M33" s="33"/>
      <c r="N33" s="33"/>
      <c r="O33" s="15">
        <f>COUNTIF(PROCESSOS!H3:H100,K33 &amp; "*")</f>
        <v>1</v>
      </c>
      <c r="P33"/>
      <c r="Q33"/>
      <c r="R33"/>
      <c r="S33"/>
      <c r="T33"/>
    </row>
    <row r="34" spans="2:22" s="3" customFormat="1" ht="69.95" customHeight="1" x14ac:dyDescent="0.35">
      <c r="B34" s="17" t="s">
        <v>183</v>
      </c>
      <c r="C34" s="17" t="s">
        <v>199</v>
      </c>
      <c r="K34" s="33" t="s">
        <v>94</v>
      </c>
      <c r="L34" s="33"/>
      <c r="M34" s="33"/>
      <c r="N34" s="33"/>
      <c r="O34" s="15">
        <f>COUNTIF(PROCESSOS!H3:H100,K34 &amp; "*")</f>
        <v>2</v>
      </c>
      <c r="P34"/>
      <c r="Q34"/>
      <c r="R34"/>
      <c r="S34"/>
      <c r="T34"/>
    </row>
    <row r="35" spans="2:22" s="3" customFormat="1" ht="69.95" customHeight="1" x14ac:dyDescent="0.35">
      <c r="B35" s="18" t="s">
        <v>3</v>
      </c>
      <c r="C35" s="15">
        <f>COUNTIF(PROCESSOS!M3:M100,B35)</f>
        <v>19</v>
      </c>
      <c r="K35" s="33" t="s">
        <v>89</v>
      </c>
      <c r="L35" s="33"/>
      <c r="M35" s="33"/>
      <c r="N35" s="33"/>
      <c r="O35" s="15">
        <f>COUNTIF(PROCESSOS!H3:H100,K35 &amp; "*")</f>
        <v>1</v>
      </c>
      <c r="P35"/>
      <c r="Q35"/>
      <c r="R35"/>
      <c r="S35"/>
      <c r="T35"/>
    </row>
    <row r="36" spans="2:22" s="3" customFormat="1" ht="69.95" customHeight="1" x14ac:dyDescent="0.35">
      <c r="B36" s="27" t="s">
        <v>21</v>
      </c>
      <c r="C36" s="23">
        <f>COUNTIF(PROCESSOS!M3:M100,B36)</f>
        <v>6</v>
      </c>
      <c r="K36" s="33" t="s">
        <v>58</v>
      </c>
      <c r="L36" s="33"/>
      <c r="M36" s="33"/>
      <c r="N36" s="33"/>
      <c r="O36" s="15">
        <f>COUNTIF(PROCESSOS!H3:H100,K36 &amp; "*")</f>
        <v>2</v>
      </c>
      <c r="P36"/>
      <c r="Q36"/>
      <c r="R36"/>
      <c r="S36"/>
      <c r="T36"/>
    </row>
    <row r="37" spans="2:22" s="3" customFormat="1" ht="69.95" customHeight="1" x14ac:dyDescent="0.35">
      <c r="B37" s="25" t="s">
        <v>227</v>
      </c>
      <c r="C37" s="23">
        <f>COUNTIF(PROCESSOS!M3:M100,B37 &amp; "*")</f>
        <v>1</v>
      </c>
      <c r="K37" s="33" t="s">
        <v>50</v>
      </c>
      <c r="L37" s="33"/>
      <c r="M37" s="33"/>
      <c r="N37" s="33"/>
      <c r="O37" s="15">
        <f>COUNTIF(PROCESSOS!H3:H100,K37 &amp; "*")</f>
        <v>1</v>
      </c>
      <c r="P37"/>
      <c r="Q37"/>
      <c r="R37"/>
      <c r="S37"/>
      <c r="T37"/>
    </row>
    <row r="38" spans="2:22" ht="69.95" customHeight="1" x14ac:dyDescent="0.25">
      <c r="B38" s="24" t="s">
        <v>228</v>
      </c>
      <c r="C38" s="15">
        <f>COUNTIF(PROCESSOS!M3:M100,B38 &amp; "*")</f>
        <v>1</v>
      </c>
      <c r="K38" s="33" t="s">
        <v>45</v>
      </c>
      <c r="L38" s="33"/>
      <c r="M38" s="33"/>
      <c r="N38" s="33"/>
      <c r="O38" s="15">
        <f>COUNTIF(PROCESSOS!H3:H100,K38 &amp; "*")</f>
        <v>1</v>
      </c>
    </row>
    <row r="39" spans="2:22" ht="69.95" customHeight="1" x14ac:dyDescent="0.25">
      <c r="B39" s="27" t="s">
        <v>115</v>
      </c>
      <c r="C39" s="23">
        <f>COUNTIF(PROCESSOS!M3:M100,B39)</f>
        <v>1</v>
      </c>
      <c r="K39" s="33" t="s">
        <v>41</v>
      </c>
      <c r="L39" s="33"/>
      <c r="M39" s="33"/>
      <c r="N39" s="33"/>
      <c r="O39" s="15">
        <f>COUNTIF(PROCESSOS!H3:H100,K39 &amp; "*")</f>
        <v>1</v>
      </c>
    </row>
    <row r="40" spans="2:22" ht="69.95" customHeight="1" x14ac:dyDescent="0.25">
      <c r="B40" s="24" t="s">
        <v>122</v>
      </c>
      <c r="C40" s="15">
        <f>COUNTIF(PROCESSOS!M3:M100,B40)</f>
        <v>1</v>
      </c>
      <c r="K40" s="33" t="s">
        <v>36</v>
      </c>
      <c r="L40" s="33"/>
      <c r="M40" s="33"/>
      <c r="N40" s="33"/>
      <c r="O40" s="15">
        <f>COUNTIF(PROCESSOS!H3:H100,K40 &amp; "*")</f>
        <v>1</v>
      </c>
    </row>
    <row r="41" spans="2:22" ht="69.95" customHeight="1" x14ac:dyDescent="0.25">
      <c r="B41" s="18" t="s">
        <v>109</v>
      </c>
      <c r="C41" s="15">
        <f>COUNTIF(PROCESSOS!M3:M100,B41)</f>
        <v>1</v>
      </c>
      <c r="K41" s="33" t="s">
        <v>30</v>
      </c>
      <c r="L41" s="33"/>
      <c r="M41" s="33"/>
      <c r="N41" s="33"/>
      <c r="O41" s="15">
        <f>COUNTIF(PROCESSOS!H3:H100,K41 &amp; "*")</f>
        <v>1</v>
      </c>
    </row>
    <row r="42" spans="2:22" ht="69.95" customHeight="1" x14ac:dyDescent="0.25">
      <c r="B42" s="29" t="s">
        <v>152</v>
      </c>
      <c r="C42" s="15">
        <f>COUNTIF(PROCESSOS!M3:M100,B42)</f>
        <v>1</v>
      </c>
      <c r="K42" s="33" t="s">
        <v>16</v>
      </c>
      <c r="L42" s="33"/>
      <c r="M42" s="33"/>
      <c r="N42" s="33"/>
      <c r="O42" s="15">
        <f>COUNTIF(PROCESSOS!H3:H100,K42 &amp; "*")</f>
        <v>2</v>
      </c>
    </row>
    <row r="43" spans="2:22" ht="69.95" customHeight="1" x14ac:dyDescent="0.25">
      <c r="B43" s="29" t="s">
        <v>13</v>
      </c>
      <c r="C43" s="15">
        <f>COUNTIF(PROCESSOS!M3:M100,B43)</f>
        <v>1</v>
      </c>
      <c r="K43" s="34" t="s">
        <v>220</v>
      </c>
      <c r="L43" s="34"/>
      <c r="M43" s="34"/>
      <c r="N43" s="34"/>
      <c r="O43" s="15">
        <f>COUNTIF(PROCESSOS!H4:H101,K43 &amp; "*")</f>
        <v>1</v>
      </c>
    </row>
    <row r="44" spans="2:22" ht="69.95" customHeight="1" x14ac:dyDescent="0.4">
      <c r="B44" s="26"/>
      <c r="C44" s="26"/>
      <c r="S44" s="58"/>
      <c r="T44" s="58"/>
      <c r="U44" s="58"/>
      <c r="V44" s="58"/>
    </row>
    <row r="45" spans="2:22" ht="69.95" customHeight="1" x14ac:dyDescent="0.25">
      <c r="B45" s="17" t="s">
        <v>198</v>
      </c>
      <c r="C45" s="28" t="s">
        <v>197</v>
      </c>
    </row>
    <row r="46" spans="2:22" ht="69.95" customHeight="1" x14ac:dyDescent="0.25">
      <c r="B46" s="24" t="s">
        <v>111</v>
      </c>
      <c r="C46" s="15">
        <f>COUNTIF(PROCESSOS!G3:G100,B46)</f>
        <v>4</v>
      </c>
    </row>
    <row r="47" spans="2:22" ht="69.95" customHeight="1" x14ac:dyDescent="0.25">
      <c r="B47" s="25" t="s">
        <v>16</v>
      </c>
      <c r="C47" s="23">
        <f>COUNTIF(PROCESSOS!G3:G100,B47)</f>
        <v>12</v>
      </c>
    </row>
    <row r="48" spans="2:22" ht="69.95" customHeight="1" x14ac:dyDescent="0.25">
      <c r="B48" s="24" t="s">
        <v>51</v>
      </c>
      <c r="C48" s="15">
        <f>COUNTIF(PROCESSOS!G3:G100,B48)</f>
        <v>7</v>
      </c>
    </row>
    <row r="49" spans="1:26" ht="69.95" customHeight="1" x14ac:dyDescent="0.25">
      <c r="B49" s="25" t="s">
        <v>23</v>
      </c>
      <c r="C49" s="23">
        <f>COUNTIF(PROCESSOS!G3:G100,B49)</f>
        <v>1</v>
      </c>
    </row>
    <row r="50" spans="1:26" ht="69.95" customHeight="1" x14ac:dyDescent="0.25">
      <c r="B50" s="29" t="s">
        <v>226</v>
      </c>
      <c r="C50" s="15">
        <f>COUNTIF(PROCESSOS!G3:G100,B50 &amp; "*")</f>
        <v>1</v>
      </c>
    </row>
    <row r="51" spans="1:26" ht="69.95" customHeight="1" x14ac:dyDescent="0.25">
      <c r="B51" s="15" t="s">
        <v>0</v>
      </c>
      <c r="C51" s="15">
        <f>COUNTIF(PROCESSOS!G3:G100,B51)</f>
        <v>7</v>
      </c>
    </row>
    <row r="52" spans="1:26" ht="69.95" customHeight="1" x14ac:dyDescent="0.25"/>
    <row r="53" spans="1:26" ht="69.95" customHeight="1" x14ac:dyDescent="0.25"/>
    <row r="54" spans="1:26" ht="69.95" customHeight="1" x14ac:dyDescent="0.25"/>
    <row r="55" spans="1:26" ht="69.95" customHeight="1" x14ac:dyDescent="0.25"/>
    <row r="56" spans="1:26" ht="69.95" customHeight="1" x14ac:dyDescent="0.25"/>
    <row r="57" spans="1:26" ht="69.95" customHeight="1" x14ac:dyDescent="0.25"/>
    <row r="58" spans="1:26" ht="69.95" customHeight="1" x14ac:dyDescent="0.25"/>
    <row r="59" spans="1:26" ht="69.95" customHeight="1" x14ac:dyDescent="0.25"/>
    <row r="60" spans="1:26" ht="69.95" customHeight="1" x14ac:dyDescent="0.25"/>
    <row r="61" spans="1:26" ht="69.9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sheetData>
  <mergeCells count="24">
    <mergeCell ref="K43:N43"/>
    <mergeCell ref="K41:N41"/>
    <mergeCell ref="K42:N42"/>
    <mergeCell ref="K28:N28"/>
    <mergeCell ref="K29:N29"/>
    <mergeCell ref="K30:N30"/>
    <mergeCell ref="K33:N33"/>
    <mergeCell ref="K36:N36"/>
    <mergeCell ref="K31:N31"/>
    <mergeCell ref="K37:N37"/>
    <mergeCell ref="K38:N38"/>
    <mergeCell ref="K39:N39"/>
    <mergeCell ref="K40:N40"/>
    <mergeCell ref="K35:N35"/>
    <mergeCell ref="K34:N34"/>
    <mergeCell ref="J3:K3"/>
    <mergeCell ref="J4:K4"/>
    <mergeCell ref="A1:T1"/>
    <mergeCell ref="H4:H8"/>
    <mergeCell ref="K24:N24"/>
    <mergeCell ref="K25:N25"/>
    <mergeCell ref="K32:N32"/>
    <mergeCell ref="K26:N26"/>
    <mergeCell ref="K27:N27"/>
  </mergeCells>
  <dataValidations count="1">
    <dataValidation type="list" allowBlank="1" showInputMessage="1" showErrorMessage="1" sqref="B27:B28" xr:uid="{A4CBBE03-B1A9-4D0C-9D8C-B169635A1B59}">
      <formula1>"TRT 23ª,TRT 8ª,TRT 14ª,TRT 10ª"</formula1>
    </dataValidation>
  </dataValidation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PROCESSOS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Aprendiz Juridico</dc:creator>
  <cp:lastModifiedBy>Aprendiz Juridico</cp:lastModifiedBy>
  <dcterms:created xsi:type="dcterms:W3CDTF">2026-06-26T20:02:03Z</dcterms:created>
  <dcterms:modified xsi:type="dcterms:W3CDTF">2026-06-30T17:45:00Z</dcterms:modified>
</cp:coreProperties>
</file>